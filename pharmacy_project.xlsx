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lra\OneDrive\Desktop\Data Engineer\"/>
    </mc:Choice>
  </mc:AlternateContent>
  <xr:revisionPtr revIDLastSave="0" documentId="13_ncr:1_{D6533297-E7EB-4CD4-A79B-3F623D8B3E35}" xr6:coauthVersionLast="47" xr6:coauthVersionMax="47" xr10:uidLastSave="{00000000-0000-0000-0000-000000000000}"/>
  <bookViews>
    <workbookView minimized="1" xWindow="4140" yWindow="3472" windowWidth="16200" windowHeight="9308" activeTab="4" xr2:uid="{8F4F76EA-21E7-458F-8B2A-3453DC82F93D}"/>
  </bookViews>
  <sheets>
    <sheet name="Data_expiry" sheetId="2" r:id="rId1"/>
    <sheet name="Data_stock" sheetId="3" r:id="rId2"/>
    <sheet name="Data_suppliers" sheetId="4" r:id="rId3"/>
    <sheet name="Pivot_calculations" sheetId="1" r:id="rId4"/>
    <sheet name="Dashboard" sheetId="6" r:id="rId5"/>
  </sheets>
  <definedNames>
    <definedName name="ExternalData_1" localSheetId="0" hidden="1">Data_expiry!$A$1:$G$384</definedName>
    <definedName name="ExternalData_1" localSheetId="1" hidden="1">Data_stock!$A$1:$E$774</definedName>
    <definedName name="ExternalData_1" localSheetId="2" hidden="1">Data_suppliers!$A$1:$C$16</definedName>
    <definedName name="Slicer_productname">#N/A</definedName>
    <definedName name="Slicer_suppliername">#N/A</definedName>
  </definedNames>
  <calcPr calcId="191029"/>
  <pivotCaches>
    <pivotCache cacheId="4" r:id="rId6"/>
    <pivotCache cacheId="8" r:id="rId7"/>
    <pivotCache cacheId="1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6" l="1"/>
  <c r="D13" i="6"/>
  <c r="D14" i="6"/>
  <c r="D15" i="6"/>
  <c r="D16" i="6"/>
  <c r="D17" i="6"/>
  <c r="D18" i="6"/>
  <c r="D19" i="6"/>
  <c r="D20" i="6"/>
  <c r="D11" i="6"/>
  <c r="C12" i="6"/>
  <c r="C13" i="6"/>
  <c r="C14" i="6"/>
  <c r="C15" i="6"/>
  <c r="C16" i="6"/>
  <c r="C17" i="6"/>
  <c r="C18" i="6"/>
  <c r="C19" i="6"/>
  <c r="C20" i="6"/>
  <c r="C11" i="6"/>
  <c r="A12" i="6"/>
  <c r="B12" i="6"/>
  <c r="A13" i="6"/>
  <c r="B13" i="6"/>
  <c r="A14" i="6"/>
  <c r="B14" i="6"/>
  <c r="A15" i="6"/>
  <c r="B15" i="6"/>
  <c r="A16" i="6"/>
  <c r="B16" i="6"/>
  <c r="A17" i="6"/>
  <c r="B17" i="6"/>
  <c r="A18" i="6"/>
  <c r="B18" i="6"/>
  <c r="A19" i="6"/>
  <c r="B19" i="6"/>
  <c r="A20" i="6"/>
  <c r="B20" i="6"/>
  <c r="B11" i="6"/>
  <c r="A1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44563C-C28A-47D5-A198-AD5D40DD1EAF}" keepAlive="1" name="Query - Expiry_Risk csv" description="Connection to the 'Expiry_Risk csv' query in the workbook." type="5" refreshedVersion="8" background="1" saveData="1">
    <dbPr connection="Provider=Microsoft.Mashup.OleDb.1;Data Source=$Workbook$;Location=&quot;Expiry_Risk csv&quot;;Extended Properties=&quot;&quot;" command="SELECT * FROM [Expiry_Risk csv]"/>
  </connection>
  <connection id="2" xr16:uid="{AB2DB844-DF9B-429E-BC1E-5E2E97155920}" keepAlive="1" name="Query - Stock_Analysis csv" description="Connection to the 'Stock_Analysis csv' query in the workbook." type="5" refreshedVersion="8" background="1" saveData="1">
    <dbPr connection="Provider=Microsoft.Mashup.OleDb.1;Data Source=$Workbook$;Location=&quot;Stock_Analysis csv&quot;;Extended Properties=&quot;&quot;" command="SELECT * FROM [Stock_Analysis csv]"/>
  </connection>
  <connection id="3" xr16:uid="{BE8F6D86-E101-433E-A335-3781E199A29A}" keepAlive="1" name="Query - Supplier_Lead_Times csv" description="Connection to the 'Supplier_Lead_Times csv' query in the workbook." type="5" refreshedVersion="8" background="1" saveData="1">
    <dbPr connection="Provider=Microsoft.Mashup.OleDb.1;Data Source=$Workbook$;Location=&quot;Supplier_Lead_Times csv&quot;;Extended Properties=&quot;&quot;" command="SELECT * FROM [Supplier_Lead_Times csv]"/>
  </connection>
</connections>
</file>

<file path=xl/sharedStrings.xml><?xml version="1.0" encoding="utf-8"?>
<sst xmlns="http://schemas.openxmlformats.org/spreadsheetml/2006/main" count="2758" uniqueCount="543">
  <si>
    <t>batchid</t>
  </si>
  <si>
    <t>productname</t>
  </si>
  <si>
    <t>currentstock</t>
  </si>
  <si>
    <t>expirydate</t>
  </si>
  <si>
    <t>unitcost</t>
  </si>
  <si>
    <t>potentialrevenueloss</t>
  </si>
  <si>
    <t>expiryriskstatus</t>
  </si>
  <si>
    <t>B0102</t>
  </si>
  <si>
    <t>Medication_53</t>
  </si>
  <si>
    <t>Critical: &lt; 30 Days</t>
  </si>
  <si>
    <t>B0698</t>
  </si>
  <si>
    <t>Medication_32</t>
  </si>
  <si>
    <t>B0840</t>
  </si>
  <si>
    <t>Medication_60</t>
  </si>
  <si>
    <t>B0178</t>
  </si>
  <si>
    <t>B0483</t>
  </si>
  <si>
    <t>Medication_34</t>
  </si>
  <si>
    <t>B0092</t>
  </si>
  <si>
    <t>B0894</t>
  </si>
  <si>
    <t>Medication_29</t>
  </si>
  <si>
    <t>B0469</t>
  </si>
  <si>
    <t>Medication_19</t>
  </si>
  <si>
    <t>B0040</t>
  </si>
  <si>
    <t>Medication_82</t>
  </si>
  <si>
    <t>B0144</t>
  </si>
  <si>
    <t>Medication_51</t>
  </si>
  <si>
    <t>B0909</t>
  </si>
  <si>
    <t>Medication_49</t>
  </si>
  <si>
    <t>B0523</t>
  </si>
  <si>
    <t>Medication_92</t>
  </si>
  <si>
    <t>B0404</t>
  </si>
  <si>
    <t>Medication_77</t>
  </si>
  <si>
    <t>B0441</t>
  </si>
  <si>
    <t>Medication_61</t>
  </si>
  <si>
    <t>B0347</t>
  </si>
  <si>
    <t>Medication_58</t>
  </si>
  <si>
    <t>B0156</t>
  </si>
  <si>
    <t>Medication_10</t>
  </si>
  <si>
    <t>B0806</t>
  </si>
  <si>
    <t>Medication_62</t>
  </si>
  <si>
    <t>B0433</t>
  </si>
  <si>
    <t>Medication_54</t>
  </si>
  <si>
    <t>B0244</t>
  </si>
  <si>
    <t>Medication_70</t>
  </si>
  <si>
    <t>B0492</t>
  </si>
  <si>
    <t>B0826</t>
  </si>
  <si>
    <t>B0475</t>
  </si>
  <si>
    <t>Medication_73</t>
  </si>
  <si>
    <t>B0260</t>
  </si>
  <si>
    <t>Medication_99</t>
  </si>
  <si>
    <t>B0287</t>
  </si>
  <si>
    <t>Medication_45</t>
  </si>
  <si>
    <t>B0623</t>
  </si>
  <si>
    <t>Medication_55</t>
  </si>
  <si>
    <t>B0632</t>
  </si>
  <si>
    <t>Medication_14</t>
  </si>
  <si>
    <t>B0899</t>
  </si>
  <si>
    <t>Medication_71</t>
  </si>
  <si>
    <t>B0645</t>
  </si>
  <si>
    <t>Medication_98</t>
  </si>
  <si>
    <t>B0068</t>
  </si>
  <si>
    <t>Medication_2</t>
  </si>
  <si>
    <t>B0938</t>
  </si>
  <si>
    <t>Medication_31</t>
  </si>
  <si>
    <t>B0442</t>
  </si>
  <si>
    <t>B0799</t>
  </si>
  <si>
    <t>Medication_57</t>
  </si>
  <si>
    <t>B0715</t>
  </si>
  <si>
    <t>B0332</t>
  </si>
  <si>
    <t>Medication_43</t>
  </si>
  <si>
    <t>B0149</t>
  </si>
  <si>
    <t>Medication_28</t>
  </si>
  <si>
    <t>B0911</t>
  </si>
  <si>
    <t>Medication_50</t>
  </si>
  <si>
    <t>B0268</t>
  </si>
  <si>
    <t>Medication_81</t>
  </si>
  <si>
    <t>B0062</t>
  </si>
  <si>
    <t>Medication_66</t>
  </si>
  <si>
    <t>B0185</t>
  </si>
  <si>
    <t>Medication_72</t>
  </si>
  <si>
    <t>B0634</t>
  </si>
  <si>
    <t>B0713</t>
  </si>
  <si>
    <t>Medication_24</t>
  </si>
  <si>
    <t>B0935</t>
  </si>
  <si>
    <t>Medication_52</t>
  </si>
  <si>
    <t>B0053</t>
  </si>
  <si>
    <t>Medication_27</t>
  </si>
  <si>
    <t>B0585</t>
  </si>
  <si>
    <t>B0890</t>
  </si>
  <si>
    <t>Medication_95</t>
  </si>
  <si>
    <t>B0886</t>
  </si>
  <si>
    <t>Medication_1</t>
  </si>
  <si>
    <t>B0209</t>
  </si>
  <si>
    <t>B0819</t>
  </si>
  <si>
    <t>Medication_4</t>
  </si>
  <si>
    <t>B0307</t>
  </si>
  <si>
    <t>Medication_6</t>
  </si>
  <si>
    <t>B0574</t>
  </si>
  <si>
    <t>B0658</t>
  </si>
  <si>
    <t>Medication_100</t>
  </si>
  <si>
    <t>B0116</t>
  </si>
  <si>
    <t>B0034</t>
  </si>
  <si>
    <t>Medication_85</t>
  </si>
  <si>
    <t>B0167</t>
  </si>
  <si>
    <t>Medication_47</t>
  </si>
  <si>
    <t>B0803</t>
  </si>
  <si>
    <t>B0747</t>
  </si>
  <si>
    <t>B0374</t>
  </si>
  <si>
    <t>Medication_26</t>
  </si>
  <si>
    <t>B0215</t>
  </si>
  <si>
    <t>Medication_11</t>
  </si>
  <si>
    <t>B0326</t>
  </si>
  <si>
    <t>B0999</t>
  </si>
  <si>
    <t>Medication_84</t>
  </si>
  <si>
    <t>B0314</t>
  </si>
  <si>
    <t>B0458</t>
  </si>
  <si>
    <t>Medication_79</t>
  </si>
  <si>
    <t>B0478</t>
  </si>
  <si>
    <t>Medication_17</t>
  </si>
  <si>
    <t>B0560</t>
  </si>
  <si>
    <t>B0087</t>
  </si>
  <si>
    <t>Medication_41</t>
  </si>
  <si>
    <t>B0775</t>
  </si>
  <si>
    <t>Medication_23</t>
  </si>
  <si>
    <t>B0809</t>
  </si>
  <si>
    <t>B0836</t>
  </si>
  <si>
    <t>B0032</t>
  </si>
  <si>
    <t>Medication_42</t>
  </si>
  <si>
    <t>B0919</t>
  </si>
  <si>
    <t>Medication_9</t>
  </si>
  <si>
    <t>B0335</t>
  </si>
  <si>
    <t>B0771</t>
  </si>
  <si>
    <t>B0633</t>
  </si>
  <si>
    <t>B0423</t>
  </si>
  <si>
    <t>Medication_22</t>
  </si>
  <si>
    <t>B0124</t>
  </si>
  <si>
    <t>B0790</t>
  </si>
  <si>
    <t>Medication_76</t>
  </si>
  <si>
    <t>B0241</t>
  </si>
  <si>
    <t>B0320</t>
  </si>
  <si>
    <t>Medication_30</t>
  </si>
  <si>
    <t>B0453</t>
  </si>
  <si>
    <t>B0197</t>
  </si>
  <si>
    <t>Medication_87</t>
  </si>
  <si>
    <t>B0687</t>
  </si>
  <si>
    <t>B0114</t>
  </si>
  <si>
    <t>Medication_74</t>
  </si>
  <si>
    <t>B0351</t>
  </si>
  <si>
    <t>B0906</t>
  </si>
  <si>
    <t>B0610</t>
  </si>
  <si>
    <t>B0774</t>
  </si>
  <si>
    <t>B0641</t>
  </si>
  <si>
    <t>Medication_48</t>
  </si>
  <si>
    <t>B0059</t>
  </si>
  <si>
    <t>B0516</t>
  </si>
  <si>
    <t>B0258</t>
  </si>
  <si>
    <t>Medication_63</t>
  </si>
  <si>
    <t>B0135</t>
  </si>
  <si>
    <t>Medication_59</t>
  </si>
  <si>
    <t>B0916</t>
  </si>
  <si>
    <t>Medication_35</t>
  </si>
  <si>
    <t>B0827</t>
  </si>
  <si>
    <t>Medication_88</t>
  </si>
  <si>
    <t>B0487</t>
  </si>
  <si>
    <t>B0073</t>
  </si>
  <si>
    <t>Medication_67</t>
  </si>
  <si>
    <t>B0767</t>
  </si>
  <si>
    <t>B0988</t>
  </si>
  <si>
    <t>B0050</t>
  </si>
  <si>
    <t>B0377</t>
  </si>
  <si>
    <t>B0460</t>
  </si>
  <si>
    <t>Medication_91</t>
  </si>
  <si>
    <t>B0801</t>
  </si>
  <si>
    <t>Medication_18</t>
  </si>
  <si>
    <t>B0873</t>
  </si>
  <si>
    <t>B0380</t>
  </si>
  <si>
    <t>Medication_75</t>
  </si>
  <si>
    <t>B0193</t>
  </si>
  <si>
    <t>B0619</t>
  </si>
  <si>
    <t>B0211</t>
  </si>
  <si>
    <t>B0754</t>
  </si>
  <si>
    <t>B0732</t>
  </si>
  <si>
    <t>B0012</t>
  </si>
  <si>
    <t>B0455</t>
  </si>
  <si>
    <t>B0524</t>
  </si>
  <si>
    <t>Medication_5</t>
  </si>
  <si>
    <t>B0465</t>
  </si>
  <si>
    <t>B0226</t>
  </si>
  <si>
    <t>B0341</t>
  </si>
  <si>
    <t>Medication_97</t>
  </si>
  <si>
    <t>B0345</t>
  </si>
  <si>
    <t>B0734</t>
  </si>
  <si>
    <t>Medication_78</t>
  </si>
  <si>
    <t>B0224</t>
  </si>
  <si>
    <t>B0748</t>
  </si>
  <si>
    <t>B0286</t>
  </si>
  <si>
    <t>Medication_36</t>
  </si>
  <si>
    <t>B0284</t>
  </si>
  <si>
    <t>B0188</t>
  </si>
  <si>
    <t>B0883</t>
  </si>
  <si>
    <t>B0192</t>
  </si>
  <si>
    <t>B0908</t>
  </si>
  <si>
    <t>B0606</t>
  </si>
  <si>
    <t>B0049</t>
  </si>
  <si>
    <t>B0664</t>
  </si>
  <si>
    <t>B0699</t>
  </si>
  <si>
    <t>Medication_96</t>
  </si>
  <si>
    <t>B0782</t>
  </si>
  <si>
    <t>B0685</t>
  </si>
  <si>
    <t>Medication_56</t>
  </si>
  <si>
    <t>B0334</t>
  </si>
  <si>
    <t>B0537</t>
  </si>
  <si>
    <t>B0280</t>
  </si>
  <si>
    <t>B0173</t>
  </si>
  <si>
    <t>B0288</t>
  </si>
  <si>
    <t>Medication_39</t>
  </si>
  <si>
    <t>B0306</t>
  </si>
  <si>
    <t>B0530</t>
  </si>
  <si>
    <t>B0572</t>
  </si>
  <si>
    <t>Medication_40</t>
  </si>
  <si>
    <t>B0595</t>
  </si>
  <si>
    <t>B0644</t>
  </si>
  <si>
    <t>Medication_80</t>
  </si>
  <si>
    <t>B0802</t>
  </si>
  <si>
    <t>B0984</t>
  </si>
  <si>
    <t>B0900</t>
  </si>
  <si>
    <t>B0063</t>
  </si>
  <si>
    <t>B0897</t>
  </si>
  <si>
    <t>B0592</t>
  </si>
  <si>
    <t>B0852</t>
  </si>
  <si>
    <t>B0387</t>
  </si>
  <si>
    <t>B0148</t>
  </si>
  <si>
    <t>B0971</t>
  </si>
  <si>
    <t>Medication_8</t>
  </si>
  <si>
    <t>B0388</t>
  </si>
  <si>
    <t>B0157</t>
  </si>
  <si>
    <t>B0932</t>
  </si>
  <si>
    <t>B0511</t>
  </si>
  <si>
    <t>Medication_93</t>
  </si>
  <si>
    <t>B0822</t>
  </si>
  <si>
    <t>Medication_3</t>
  </si>
  <si>
    <t>B0865</t>
  </si>
  <si>
    <t>Medication_12</t>
  </si>
  <si>
    <t>B0121</t>
  </si>
  <si>
    <t>B0520</t>
  </si>
  <si>
    <t>B0248</t>
  </si>
  <si>
    <t>Medication_83</t>
  </si>
  <si>
    <t>B0640</t>
  </si>
  <si>
    <t>B0722</t>
  </si>
  <si>
    <t>B0208</t>
  </si>
  <si>
    <t>B0963</t>
  </si>
  <si>
    <t>B0429</t>
  </si>
  <si>
    <t>Medication_94</t>
  </si>
  <si>
    <t>B0608</t>
  </si>
  <si>
    <t>B0755</t>
  </si>
  <si>
    <t>B0058</t>
  </si>
  <si>
    <t>B0298</t>
  </si>
  <si>
    <t>B0128</t>
  </si>
  <si>
    <t>Medication_44</t>
  </si>
  <si>
    <t>B0989</t>
  </si>
  <si>
    <t>B0875</t>
  </si>
  <si>
    <t>B0200</t>
  </si>
  <si>
    <t>Medication_15</t>
  </si>
  <si>
    <t>B0015</t>
  </si>
  <si>
    <t>B0964</t>
  </si>
  <si>
    <t>B0506</t>
  </si>
  <si>
    <t>B0060</t>
  </si>
  <si>
    <t>B0338</t>
  </si>
  <si>
    <t>B0086</t>
  </si>
  <si>
    <t>B0445</t>
  </si>
  <si>
    <t>B0299</t>
  </si>
  <si>
    <t>B0763</t>
  </si>
  <si>
    <t>Medication_68</t>
  </si>
  <si>
    <t>B0265</t>
  </si>
  <si>
    <t>B0405</t>
  </si>
  <si>
    <t>B0812</t>
  </si>
  <si>
    <t>B0628</t>
  </si>
  <si>
    <t>Medication_33</t>
  </si>
  <si>
    <t>B0669</t>
  </si>
  <si>
    <t>B0586</t>
  </si>
  <si>
    <t>Medication_89</t>
  </si>
  <si>
    <t>B0513</t>
  </si>
  <si>
    <t>B0313</t>
  </si>
  <si>
    <t>B0291</t>
  </si>
  <si>
    <t>B0749</t>
  </si>
  <si>
    <t>B0716</t>
  </si>
  <si>
    <t>B0234</t>
  </si>
  <si>
    <t>B0066</t>
  </si>
  <si>
    <t>B0184</t>
  </si>
  <si>
    <t>Medication_38</t>
  </si>
  <si>
    <t>B0630</t>
  </si>
  <si>
    <t>Medication_64</t>
  </si>
  <si>
    <t>B0359</t>
  </si>
  <si>
    <t>Warning: 31-90 Days</t>
  </si>
  <si>
    <t>B0350</t>
  </si>
  <si>
    <t>B0961</t>
  </si>
  <si>
    <t>B0706</t>
  </si>
  <si>
    <t>B0391</t>
  </si>
  <si>
    <t>B0468</t>
  </si>
  <si>
    <t>Medication_20</t>
  </si>
  <si>
    <t>B0983</t>
  </si>
  <si>
    <t>B0435</t>
  </si>
  <si>
    <t>B0967</t>
  </si>
  <si>
    <t>B0679</t>
  </si>
  <si>
    <t>B0903</t>
  </si>
  <si>
    <t>B0862</t>
  </si>
  <si>
    <t>B0227</t>
  </si>
  <si>
    <t>B0065</t>
  </si>
  <si>
    <t>B0675</t>
  </si>
  <si>
    <t>B0205</t>
  </si>
  <si>
    <t>B0316</t>
  </si>
  <si>
    <t>B0959</t>
  </si>
  <si>
    <t>B0409</t>
  </si>
  <si>
    <t>B0071</t>
  </si>
  <si>
    <t>B0095</t>
  </si>
  <si>
    <t>B0498</t>
  </si>
  <si>
    <t>B0838</t>
  </si>
  <si>
    <t>B0386</t>
  </si>
  <si>
    <t>Medication_86</t>
  </si>
  <si>
    <t>B0231</t>
  </si>
  <si>
    <t>B0765</t>
  </si>
  <si>
    <t>B0479</t>
  </si>
  <si>
    <t>B0703</t>
  </si>
  <si>
    <t>B0541</t>
  </si>
  <si>
    <t>B0599</t>
  </si>
  <si>
    <t>B0995</t>
  </si>
  <si>
    <t>B0340</t>
  </si>
  <si>
    <t>B0798</t>
  </si>
  <si>
    <t>Medication_7</t>
  </si>
  <si>
    <t>B0709</t>
  </si>
  <si>
    <t>B0627</t>
  </si>
  <si>
    <t>Medication_65</t>
  </si>
  <si>
    <t>B0443</t>
  </si>
  <si>
    <t>B0901</t>
  </si>
  <si>
    <t>B0381</t>
  </si>
  <si>
    <t>B0807</t>
  </si>
  <si>
    <t>B0954</t>
  </si>
  <si>
    <t>B0545</t>
  </si>
  <si>
    <t>B0789</t>
  </si>
  <si>
    <t>Medication_16</t>
  </si>
  <si>
    <t>B0618</t>
  </si>
  <si>
    <t>B0779</t>
  </si>
  <si>
    <t>Medication_13</t>
  </si>
  <si>
    <t>B0533</t>
  </si>
  <si>
    <t>B0673</t>
  </si>
  <si>
    <t>B0295</t>
  </si>
  <si>
    <t>B0526</t>
  </si>
  <si>
    <t>B0558</t>
  </si>
  <si>
    <t>B0577</t>
  </si>
  <si>
    <t>B0815</t>
  </si>
  <si>
    <t>B0384</t>
  </si>
  <si>
    <t>B0325</t>
  </si>
  <si>
    <t>Medication_37</t>
  </si>
  <si>
    <t>B0536</t>
  </si>
  <si>
    <t>B0661</t>
  </si>
  <si>
    <t>B0218</t>
  </si>
  <si>
    <t>B0733</t>
  </si>
  <si>
    <t>Medication_25</t>
  </si>
  <si>
    <t>B0780</t>
  </si>
  <si>
    <t>B0742</t>
  </si>
  <si>
    <t>B0896</t>
  </si>
  <si>
    <t>B0636</t>
  </si>
  <si>
    <t>B0308</t>
  </si>
  <si>
    <t>B0355</t>
  </si>
  <si>
    <t>B0420</t>
  </si>
  <si>
    <t>B0160</t>
  </si>
  <si>
    <t>B0739</t>
  </si>
  <si>
    <t>B0831</t>
  </si>
  <si>
    <t>B0437</t>
  </si>
  <si>
    <t>B0681</t>
  </si>
  <si>
    <t>B0031</t>
  </si>
  <si>
    <t>B0825</t>
  </si>
  <si>
    <t>B0921</t>
  </si>
  <si>
    <t>B0568</t>
  </si>
  <si>
    <t>Medication_46</t>
  </si>
  <si>
    <t>B0367</t>
  </si>
  <si>
    <t>B0639</t>
  </si>
  <si>
    <t>B0098</t>
  </si>
  <si>
    <t>B0201</t>
  </si>
  <si>
    <t>B0321</t>
  </si>
  <si>
    <t>B0949</t>
  </si>
  <si>
    <t>B0494</t>
  </si>
  <si>
    <t>B0997</t>
  </si>
  <si>
    <t>B0077</t>
  </si>
  <si>
    <t>B0843</t>
  </si>
  <si>
    <t>B0726</t>
  </si>
  <si>
    <t>B0221</t>
  </si>
  <si>
    <t>B0783</t>
  </si>
  <si>
    <t>B0564</t>
  </si>
  <si>
    <t>B0069</t>
  </si>
  <si>
    <t>B0029</t>
  </si>
  <si>
    <t>B0933</t>
  </si>
  <si>
    <t>B0557</t>
  </si>
  <si>
    <t>B0947</t>
  </si>
  <si>
    <t>B0778</t>
  </si>
  <si>
    <t>B0440</t>
  </si>
  <si>
    <t>B0686</t>
  </si>
  <si>
    <t>B0642</t>
  </si>
  <si>
    <t>B0844</t>
  </si>
  <si>
    <t>B0113</t>
  </si>
  <si>
    <t>B0115</t>
  </si>
  <si>
    <t>B0254</t>
  </si>
  <si>
    <t>B0810</t>
  </si>
  <si>
    <t>B0535</t>
  </si>
  <si>
    <t>B0939</t>
  </si>
  <si>
    <t>B0787</t>
  </si>
  <si>
    <t>B0918</t>
  </si>
  <si>
    <t>B0880</t>
  </si>
  <si>
    <t>B0626</t>
  </si>
  <si>
    <t>B0383</t>
  </si>
  <si>
    <t>Medication_69</t>
  </si>
  <si>
    <t>B0182</t>
  </si>
  <si>
    <t>B0928</t>
  </si>
  <si>
    <t>B0137</t>
  </si>
  <si>
    <t>B0868</t>
  </si>
  <si>
    <t>B0230</t>
  </si>
  <si>
    <t>B0729</t>
  </si>
  <si>
    <t>B0622</t>
  </si>
  <si>
    <t>B0187</t>
  </si>
  <si>
    <t>B0670</t>
  </si>
  <si>
    <t>B0554</t>
  </si>
  <si>
    <t>B0853</t>
  </si>
  <si>
    <t>B0070</t>
  </si>
  <si>
    <t>B0525</t>
  </si>
  <si>
    <t>B0021</t>
  </si>
  <si>
    <t>B0517</t>
  </si>
  <si>
    <t>B0463</t>
  </si>
  <si>
    <t>B0833</t>
  </si>
  <si>
    <t>B0651</t>
  </si>
  <si>
    <t>B0263</t>
  </si>
  <si>
    <t>B0872</t>
  </si>
  <si>
    <t>B0349</t>
  </si>
  <si>
    <t>B0502</t>
  </si>
  <si>
    <t>Medication_21</t>
  </si>
  <si>
    <t>B0057</t>
  </si>
  <si>
    <t>B0401</t>
  </si>
  <si>
    <t>B0003</t>
  </si>
  <si>
    <t>B0927</t>
  </si>
  <si>
    <t>B0459</t>
  </si>
  <si>
    <t>B0994</t>
  </si>
  <si>
    <t>B0036</t>
  </si>
  <si>
    <t>B0601</t>
  </si>
  <si>
    <t>B0689</t>
  </si>
  <si>
    <t>B0913</t>
  </si>
  <si>
    <t>B0181</t>
  </si>
  <si>
    <t>B0438</t>
  </si>
  <si>
    <t>B0503</t>
  </si>
  <si>
    <t>B0213</t>
  </si>
  <si>
    <t>B0676</t>
  </si>
  <si>
    <t>B0846</t>
  </si>
  <si>
    <t>B0315</t>
  </si>
  <si>
    <t>B0671</t>
  </si>
  <si>
    <t>B0684</t>
  </si>
  <si>
    <t>B0418</t>
  </si>
  <si>
    <t>B0154</t>
  </si>
  <si>
    <t>B0410</t>
  </si>
  <si>
    <t>B0018</t>
  </si>
  <si>
    <t>B0220</t>
  </si>
  <si>
    <t>B0769</t>
  </si>
  <si>
    <t>B0785</t>
  </si>
  <si>
    <t>B0139</t>
  </si>
  <si>
    <t>B0943</t>
  </si>
  <si>
    <t>B0393</t>
  </si>
  <si>
    <t>B0849</t>
  </si>
  <si>
    <t>B0212</t>
  </si>
  <si>
    <t>B0471</t>
  </si>
  <si>
    <t>B0239</t>
  </si>
  <si>
    <t>B0621</t>
  </si>
  <si>
    <t>B0566</t>
  </si>
  <si>
    <t>B0394</t>
  </si>
  <si>
    <t>B0753</t>
  </si>
  <si>
    <t>B0302</t>
  </si>
  <si>
    <t>B0588</t>
  </si>
  <si>
    <t>B0376</t>
  </si>
  <si>
    <t>B0571</t>
  </si>
  <si>
    <t>B0305</t>
  </si>
  <si>
    <t>B0294</t>
  </si>
  <si>
    <t>B0953</t>
  </si>
  <si>
    <t>B0107</t>
  </si>
  <si>
    <t>B0261</t>
  </si>
  <si>
    <t>B0448</t>
  </si>
  <si>
    <t>B0358</t>
  </si>
  <si>
    <t>B0174</t>
  </si>
  <si>
    <t>B0371</t>
  </si>
  <si>
    <t>B0937</t>
  </si>
  <si>
    <t>B0436</t>
  </si>
  <si>
    <t>B0667</t>
  </si>
  <si>
    <t>B0946</t>
  </si>
  <si>
    <t>B0874</t>
  </si>
  <si>
    <t>B0924</t>
  </si>
  <si>
    <t>B0484</t>
  </si>
  <si>
    <t>facilityname</t>
  </si>
  <si>
    <t>totalsold_last30days</t>
  </si>
  <si>
    <t>sellthroughrate</t>
  </si>
  <si>
    <t>Emergency Dept Storage</t>
  </si>
  <si>
    <t>South Wing Pharmacy</t>
  </si>
  <si>
    <t>North Wing Pharmacy</t>
  </si>
  <si>
    <t>Main Warehouse</t>
  </si>
  <si>
    <t>Outpatient Clinic</t>
  </si>
  <si>
    <t>Medication_90</t>
  </si>
  <si>
    <t>supplierid</t>
  </si>
  <si>
    <t>suppliername</t>
  </si>
  <si>
    <t>averageleadtime_days</t>
  </si>
  <si>
    <t>S001</t>
  </si>
  <si>
    <t>Supplier_A Medical</t>
  </si>
  <si>
    <t>S002</t>
  </si>
  <si>
    <t>Supplier_B Medical</t>
  </si>
  <si>
    <t>S003</t>
  </si>
  <si>
    <t>Supplier_C Medical</t>
  </si>
  <si>
    <t>S004</t>
  </si>
  <si>
    <t>Supplier_D Medical</t>
  </si>
  <si>
    <t>S005</t>
  </si>
  <si>
    <t>Supplier_E Medical</t>
  </si>
  <si>
    <t>S006</t>
  </si>
  <si>
    <t>Supplier_F Medical</t>
  </si>
  <si>
    <t>S007</t>
  </si>
  <si>
    <t>Supplier_G Medical</t>
  </si>
  <si>
    <t>S008</t>
  </si>
  <si>
    <t>Supplier_H Medical</t>
  </si>
  <si>
    <t>S009</t>
  </si>
  <si>
    <t>Supplier_I Medical</t>
  </si>
  <si>
    <t>S010</t>
  </si>
  <si>
    <t>Supplier_J Medical</t>
  </si>
  <si>
    <t>S011</t>
  </si>
  <si>
    <t>Supplier_K Medical</t>
  </si>
  <si>
    <t>S012</t>
  </si>
  <si>
    <t>Supplier_L Medical</t>
  </si>
  <si>
    <t>S013</t>
  </si>
  <si>
    <t>Supplier_M Medical</t>
  </si>
  <si>
    <t>S014</t>
  </si>
  <si>
    <t>Supplier_N Medical</t>
  </si>
  <si>
    <t>S015</t>
  </si>
  <si>
    <t>Supplier_O Medical</t>
  </si>
  <si>
    <t>Row Labels</t>
  </si>
  <si>
    <t>Grand Total</t>
  </si>
  <si>
    <t>Sum of potentialrevenueloss</t>
  </si>
  <si>
    <t>Product Name</t>
  </si>
  <si>
    <t>Current Stock</t>
  </si>
  <si>
    <t>Expiry Date</t>
  </si>
  <si>
    <t>Risk Status</t>
  </si>
  <si>
    <t>Sum of currentstock</t>
  </si>
  <si>
    <t>Sum of totalsold_last30days</t>
  </si>
  <si>
    <t>Sum of averageleadtime_days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</si>
</sst>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Red]&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NumberFormat="1" applyAlignment="1">
      <alignment horizontal="center"/>
    </xf>
    <xf numFmtId="14" fontId="0" fillId="0" borderId="0" xfId="0" applyNumberFormat="1" applyAlignment="1">
      <alignment horizontal="center"/>
    </xf>
    <xf numFmtId="0" fontId="0" fillId="0" borderId="0" xfId="0" pivotButton="1" applyAlignment="1">
      <alignment horizontal="center"/>
    </xf>
    <xf numFmtId="164" fontId="0" fillId="0" borderId="0" xfId="0" applyNumberFormat="1" applyAlignment="1">
      <alignment horizontal="center"/>
    </xf>
    <xf numFmtId="0" fontId="1" fillId="0" borderId="0" xfId="0" applyFont="1" applyAlignment="1">
      <alignment horizontal="center"/>
    </xf>
  </cellXfs>
  <cellStyles count="1">
    <cellStyle name="Normal" xfId="0" builtinId="0"/>
  </cellStyles>
  <dxfs count="8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color rgb="FF9C0006"/>
      </font>
      <fill>
        <patternFill>
          <bgColor rgb="FFFFC7CE"/>
        </patternFill>
      </fil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[pharmacy_project.xlsx]Pivot_calculations!PivotTable1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Pivot_calculations!$B$1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Pivot_calculations!$A$2:$A$4</c:f>
              <c:strCache>
                <c:ptCount val="2"/>
                <c:pt idx="0">
                  <c:v>Critical: &lt; 30 Days</c:v>
                </c:pt>
                <c:pt idx="1">
                  <c:v>Warning: 31-90 Days</c:v>
                </c:pt>
              </c:strCache>
            </c:strRef>
          </c:cat>
          <c:val>
            <c:numRef>
              <c:f>Pivot_calculations!$B$2:$B$4</c:f>
              <c:numCache>
                <c:formatCode>"$"#,##0.00;[Red]"$"#,##0.00</c:formatCode>
                <c:ptCount val="2"/>
                <c:pt idx="0">
                  <c:v>1470939.1800000009</c:v>
                </c:pt>
                <c:pt idx="1">
                  <c:v>1457280.8499999989</c:v>
                </c:pt>
              </c:numCache>
            </c:numRef>
          </c:val>
          <c:extLst>
            <c:ext xmlns:c16="http://schemas.microsoft.com/office/drawing/2014/chart" uri="{C3380CC4-5D6E-409C-BE32-E72D297353CC}">
              <c16:uniqueId val="{00000000-E012-44F0-8985-25AF8B80E7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[pharmacy_project.xlsx]Dashboard!PivotTable2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Stockout 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Dashboard!$H$10</c:f>
              <c:strCache>
                <c:ptCount val="1"/>
                <c:pt idx="0">
                  <c:v>Sum of currentstock</c:v>
                </c:pt>
              </c:strCache>
            </c:strRef>
          </c:tx>
          <c:spPr>
            <a:solidFill>
              <a:schemeClr val="accent1"/>
            </a:solidFill>
            <a:ln>
              <a:noFill/>
            </a:ln>
            <a:effectLst/>
            <a:sp3d/>
          </c:spPr>
          <c:invertIfNegative val="0"/>
          <c:cat>
            <c:strRef>
              <c:f>Dashboard!$G$11:$G$12</c:f>
              <c:strCache>
                <c:ptCount val="1"/>
                <c:pt idx="0">
                  <c:v>Medication_35</c:v>
                </c:pt>
              </c:strCache>
            </c:strRef>
          </c:cat>
          <c:val>
            <c:numRef>
              <c:f>Dashboard!$H$11:$H$12</c:f>
              <c:numCache>
                <c:formatCode>General</c:formatCode>
                <c:ptCount val="1"/>
                <c:pt idx="0">
                  <c:v>1747</c:v>
                </c:pt>
              </c:numCache>
            </c:numRef>
          </c:val>
          <c:extLst>
            <c:ext xmlns:c16="http://schemas.microsoft.com/office/drawing/2014/chart" uri="{C3380CC4-5D6E-409C-BE32-E72D297353CC}">
              <c16:uniqueId val="{00000000-D4BD-4946-8D09-18F2D35EFA9A}"/>
            </c:ext>
          </c:extLst>
        </c:ser>
        <c:ser>
          <c:idx val="1"/>
          <c:order val="1"/>
          <c:tx>
            <c:strRef>
              <c:f>Dashboard!$I$10</c:f>
              <c:strCache>
                <c:ptCount val="1"/>
                <c:pt idx="0">
                  <c:v>Sum of totalsold_last30days</c:v>
                </c:pt>
              </c:strCache>
            </c:strRef>
          </c:tx>
          <c:spPr>
            <a:solidFill>
              <a:schemeClr val="accent2"/>
            </a:solidFill>
            <a:ln>
              <a:noFill/>
            </a:ln>
            <a:effectLst/>
            <a:sp3d/>
          </c:spPr>
          <c:invertIfNegative val="0"/>
          <c:cat>
            <c:strRef>
              <c:f>Dashboard!$G$11:$G$12</c:f>
              <c:strCache>
                <c:ptCount val="1"/>
                <c:pt idx="0">
                  <c:v>Medication_35</c:v>
                </c:pt>
              </c:strCache>
            </c:strRef>
          </c:cat>
          <c:val>
            <c:numRef>
              <c:f>Dashboard!$I$11:$I$12</c:f>
              <c:numCache>
                <c:formatCode>General</c:formatCode>
                <c:ptCount val="1"/>
                <c:pt idx="0">
                  <c:v>278</c:v>
                </c:pt>
              </c:numCache>
            </c:numRef>
          </c:val>
          <c:extLst>
            <c:ext xmlns:c16="http://schemas.microsoft.com/office/drawing/2014/chart" uri="{C3380CC4-5D6E-409C-BE32-E72D297353CC}">
              <c16:uniqueId val="{00000001-D4BD-4946-8D09-18F2D35EFA9A}"/>
            </c:ext>
          </c:extLst>
        </c:ser>
        <c:dLbls>
          <c:showLegendKey val="0"/>
          <c:showVal val="0"/>
          <c:showCatName val="0"/>
          <c:showSerName val="0"/>
          <c:showPercent val="0"/>
          <c:showBubbleSize val="0"/>
        </c:dLbls>
        <c:gapWidth val="150"/>
        <c:shape val="box"/>
        <c:axId val="183240431"/>
        <c:axId val="1070733263"/>
        <c:axId val="0"/>
      </c:bar3DChart>
      <c:catAx>
        <c:axId val="183240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733263"/>
        <c:crosses val="autoZero"/>
        <c:auto val="1"/>
        <c:lblAlgn val="ctr"/>
        <c:lblOffset val="100"/>
        <c:noMultiLvlLbl val="0"/>
      </c:catAx>
      <c:valAx>
        <c:axId val="107073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[pharmacy_project.xlsx]Dashboard!PivotTable3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Dashboard!$U$10</c:f>
              <c:strCache>
                <c:ptCount val="1"/>
                <c:pt idx="0">
                  <c:v>Total</c:v>
                </c:pt>
              </c:strCache>
            </c:strRef>
          </c:tx>
          <c:spPr>
            <a:solidFill>
              <a:schemeClr val="accent1"/>
            </a:solidFill>
            <a:ln>
              <a:noFill/>
            </a:ln>
            <a:effectLst/>
          </c:spPr>
          <c:invertIfNegative val="0"/>
          <c:cat>
            <c:strRef>
              <c:f>Dashboard!$T$11:$T$12</c:f>
              <c:strCache>
                <c:ptCount val="1"/>
                <c:pt idx="0">
                  <c:v>Supplier_H Medical</c:v>
                </c:pt>
              </c:strCache>
            </c:strRef>
          </c:cat>
          <c:val>
            <c:numRef>
              <c:f>Dashboard!$U$11:$U$12</c:f>
              <c:numCache>
                <c:formatCode>General</c:formatCode>
                <c:ptCount val="1"/>
                <c:pt idx="0">
                  <c:v>15</c:v>
                </c:pt>
              </c:numCache>
            </c:numRef>
          </c:val>
          <c:extLst>
            <c:ext xmlns:c16="http://schemas.microsoft.com/office/drawing/2014/chart" uri="{C3380CC4-5D6E-409C-BE32-E72D297353CC}">
              <c16:uniqueId val="{00000000-4862-46BA-B346-189F209A21A4}"/>
            </c:ext>
          </c:extLst>
        </c:ser>
        <c:dLbls>
          <c:showLegendKey val="0"/>
          <c:showVal val="0"/>
          <c:showCatName val="0"/>
          <c:showSerName val="0"/>
          <c:showPercent val="0"/>
          <c:showBubbleSize val="0"/>
        </c:dLbls>
        <c:gapWidth val="182"/>
        <c:axId val="183323951"/>
        <c:axId val="1070759663"/>
      </c:barChart>
      <c:catAx>
        <c:axId val="18332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759663"/>
        <c:crosses val="autoZero"/>
        <c:auto val="1"/>
        <c:lblAlgn val="ctr"/>
        <c:lblOffset val="100"/>
        <c:noMultiLvlLbl val="0"/>
      </c:catAx>
      <c:valAx>
        <c:axId val="1070759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2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23813</xdr:rowOff>
    </xdr:from>
    <xdr:to>
      <xdr:col>6</xdr:col>
      <xdr:colOff>19050</xdr:colOff>
      <xdr:row>19</xdr:row>
      <xdr:rowOff>52388</xdr:rowOff>
    </xdr:to>
    <xdr:graphicFrame macro="">
      <xdr:nvGraphicFramePr>
        <xdr:cNvPr id="2" name="Chart 1">
          <a:extLst>
            <a:ext uri="{FF2B5EF4-FFF2-40B4-BE49-F238E27FC236}">
              <a16:creationId xmlns:a16="http://schemas.microsoft.com/office/drawing/2014/main" id="{D0244763-E3EE-CF65-B2DE-159CE63BB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10306</xdr:colOff>
      <xdr:row>13</xdr:row>
      <xdr:rowOff>12534</xdr:rowOff>
    </xdr:from>
    <xdr:to>
      <xdr:col>9</xdr:col>
      <xdr:colOff>12776</xdr:colOff>
      <xdr:row>22</xdr:row>
      <xdr:rowOff>161258</xdr:rowOff>
    </xdr:to>
    <xdr:graphicFrame macro="">
      <xdr:nvGraphicFramePr>
        <xdr:cNvPr id="3" name="Chart 2">
          <a:extLst>
            <a:ext uri="{FF2B5EF4-FFF2-40B4-BE49-F238E27FC236}">
              <a16:creationId xmlns:a16="http://schemas.microsoft.com/office/drawing/2014/main" id="{BE890DDD-590B-C332-A274-EA5EBC5F9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644789</xdr:colOff>
      <xdr:row>12</xdr:row>
      <xdr:rowOff>157415</xdr:rowOff>
    </xdr:from>
    <xdr:to>
      <xdr:col>21</xdr:col>
      <xdr:colOff>18800</xdr:colOff>
      <xdr:row>22</xdr:row>
      <xdr:rowOff>175462</xdr:rowOff>
    </xdr:to>
    <xdr:graphicFrame macro="">
      <xdr:nvGraphicFramePr>
        <xdr:cNvPr id="4" name="Chart 3">
          <a:extLst>
            <a:ext uri="{FF2B5EF4-FFF2-40B4-BE49-F238E27FC236}">
              <a16:creationId xmlns:a16="http://schemas.microsoft.com/office/drawing/2014/main" id="{6C63A96B-5758-E8EC-C458-481A24715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19392</xdr:colOff>
      <xdr:row>8</xdr:row>
      <xdr:rowOff>169274</xdr:rowOff>
    </xdr:from>
    <xdr:to>
      <xdr:col>11</xdr:col>
      <xdr:colOff>359831</xdr:colOff>
      <xdr:row>22</xdr:row>
      <xdr:rowOff>169334</xdr:rowOff>
    </xdr:to>
    <mc:AlternateContent xmlns:mc="http://schemas.openxmlformats.org/markup-compatibility/2006">
      <mc:Choice xmlns:a14="http://schemas.microsoft.com/office/drawing/2010/main" Requires="a14">
        <xdr:graphicFrame macro="">
          <xdr:nvGraphicFramePr>
            <xdr:cNvPr id="5" name="productname">
              <a:extLst>
                <a:ext uri="{FF2B5EF4-FFF2-40B4-BE49-F238E27FC236}">
                  <a16:creationId xmlns:a16="http://schemas.microsoft.com/office/drawing/2014/main" id="{D4A217C9-34BF-6612-B95D-57877133655B}"/>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9197411" y="1638845"/>
              <a:ext cx="1633117" cy="2571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635418</xdr:colOff>
      <xdr:row>9</xdr:row>
      <xdr:rowOff>10527</xdr:rowOff>
    </xdr:from>
    <xdr:to>
      <xdr:col>18</xdr:col>
      <xdr:colOff>527884</xdr:colOff>
      <xdr:row>22</xdr:row>
      <xdr:rowOff>172202</xdr:rowOff>
    </xdr:to>
    <mc:AlternateContent xmlns:mc="http://schemas.openxmlformats.org/markup-compatibility/2006">
      <mc:Choice xmlns:a14="http://schemas.microsoft.com/office/drawing/2010/main" Requires="a14">
        <xdr:graphicFrame macro="">
          <xdr:nvGraphicFramePr>
            <xdr:cNvPr id="6" name="suppliername">
              <a:extLst>
                <a:ext uri="{FF2B5EF4-FFF2-40B4-BE49-F238E27FC236}">
                  <a16:creationId xmlns:a16="http://schemas.microsoft.com/office/drawing/2014/main" id="{A4B2F356-E57E-EAEF-428B-BBEA59C2E46E}"/>
                </a:ext>
              </a:extLst>
            </xdr:cNvPr>
            <xdr:cNvGraphicFramePr/>
          </xdr:nvGraphicFramePr>
          <xdr:xfrm>
            <a:off x="0" y="0"/>
            <a:ext cx="0" cy="0"/>
          </xdr:xfrm>
          <a:graphic>
            <a:graphicData uri="http://schemas.microsoft.com/office/drawing/2010/slicer">
              <sle:slicer xmlns:sle="http://schemas.microsoft.com/office/drawing/2010/slicer" name="suppliername"/>
            </a:graphicData>
          </a:graphic>
        </xdr:graphicFrame>
      </mc:Choice>
      <mc:Fallback>
        <xdr:sp macro="" textlink="">
          <xdr:nvSpPr>
            <xdr:cNvPr id="0" name=""/>
            <xdr:cNvSpPr>
              <a:spLocks noTextEdit="1"/>
            </xdr:cNvSpPr>
          </xdr:nvSpPr>
          <xdr:spPr>
            <a:xfrm>
              <a:off x="13691472" y="1663796"/>
              <a:ext cx="1831483" cy="254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23044</xdr:colOff>
      <xdr:row>0</xdr:row>
      <xdr:rowOff>7681</xdr:rowOff>
    </xdr:from>
    <xdr:to>
      <xdr:col>23</xdr:col>
      <xdr:colOff>276533</xdr:colOff>
      <xdr:row>6</xdr:row>
      <xdr:rowOff>46691</xdr:rowOff>
    </xdr:to>
    <xdr:sp macro="" textlink="">
      <xdr:nvSpPr>
        <xdr:cNvPr id="7" name="Rectangle 6">
          <a:extLst>
            <a:ext uri="{FF2B5EF4-FFF2-40B4-BE49-F238E27FC236}">
              <a16:creationId xmlns:a16="http://schemas.microsoft.com/office/drawing/2014/main" id="{6D09C26B-3375-B12D-CA06-F82B28E9D8AF}"/>
            </a:ext>
          </a:extLst>
        </xdr:cNvPr>
        <xdr:cNvSpPr/>
      </xdr:nvSpPr>
      <xdr:spPr>
        <a:xfrm>
          <a:off x="23044" y="7681"/>
          <a:ext cx="20022534" cy="110356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4800" b="1">
              <a:solidFill>
                <a:schemeClr val="bg1"/>
              </a:solidFill>
            </a:rPr>
            <a:t>Pharma Supply Chain &amp; Expiry Risk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kalra" refreshedDate="46286.663628703704" createdVersion="8" refreshedVersion="8" minRefreshableVersion="3" recordCount="383" xr:uid="{8CBBC226-3D3F-4B62-9CE4-AD7106F01BEE}">
  <cacheSource type="worksheet">
    <worksheetSource name="Expiry_Risk_csv"/>
  </cacheSource>
  <cacheFields count="7">
    <cacheField name="batchid" numFmtId="0">
      <sharedItems/>
    </cacheField>
    <cacheField name="productname" numFmtId="0">
      <sharedItems/>
    </cacheField>
    <cacheField name="currentstock" numFmtId="0">
      <sharedItems containsSemiMixedTypes="0" containsString="0" containsNumber="1" containsInteger="1" minValue="2" maxValue="937"/>
    </cacheField>
    <cacheField name="expirydate" numFmtId="14">
      <sharedItems containsSemiMixedTypes="0" containsNonDate="0" containsDate="1" containsString="0" minDate="2026-06-12T00:00:00" maxDate="2026-12-21T00:00:00"/>
    </cacheField>
    <cacheField name="unitcost" numFmtId="0">
      <sharedItems containsSemiMixedTypes="0" containsString="0" containsNumber="1" minValue="1.23" maxValue="49.91"/>
    </cacheField>
    <cacheField name="potentialrevenueloss" numFmtId="0">
      <sharedItems containsSemiMixedTypes="0" containsString="0" containsNumber="1" minValue="4.9400000000000004" maxValue="45050.96" count="380">
        <n v="10616.6"/>
        <n v="8149.56"/>
        <n v="7003.32"/>
        <n v="8582.2800000000007"/>
        <n v="16432.150000000001"/>
        <n v="8389.9599999999991"/>
        <n v="916.83"/>
        <n v="27290.080000000002"/>
        <n v="6237"/>
        <n v="15797.76"/>
        <n v="2974.51"/>
        <n v="12203.4"/>
        <n v="865.8"/>
        <n v="20908.34"/>
        <n v="728.64"/>
        <n v="13712"/>
        <n v="15426.81"/>
        <n v="17.29"/>
        <n v="7841.75"/>
        <n v="480.96"/>
        <n v="10488.32"/>
        <n v="1757.34"/>
        <n v="16835.650000000001"/>
        <n v="849.06"/>
        <n v="1774.8"/>
        <n v="15766.1"/>
        <n v="985.23"/>
        <n v="6833.42"/>
        <n v="58.2"/>
        <n v="24528.44"/>
        <n v="279.83999999999997"/>
        <n v="10871.25"/>
        <n v="4281.1000000000004"/>
        <n v="700.04"/>
        <n v="333.04"/>
        <n v="1464.01"/>
        <n v="469.92"/>
        <n v="3968.88"/>
        <n v="3502.6"/>
        <n v="1177.96"/>
        <n v="2430"/>
        <n v="25088.7"/>
        <n v="826.54"/>
        <n v="28080"/>
        <n v="3606.51"/>
        <n v="4215.8900000000003"/>
        <n v="796.62"/>
        <n v="3264.2"/>
        <n v="4709.49"/>
        <n v="1568.21"/>
        <n v="337.92"/>
        <n v="636.64"/>
        <n v="19283.55"/>
        <n v="4160.2700000000004"/>
        <n v="14849.45"/>
        <n v="2214"/>
        <n v="7923.19"/>
        <n v="977.88"/>
        <n v="5867.04"/>
        <n v="10003.92"/>
        <n v="62.44"/>
        <n v="155.76"/>
        <n v="1084.5999999999999"/>
        <n v="17748.61"/>
        <n v="21183.68"/>
        <n v="6668.64"/>
        <n v="521.52"/>
        <n v="1459.28"/>
        <n v="3045"/>
        <n v="4408.17"/>
        <n v="2534.4"/>
        <n v="8702.0400000000009"/>
        <n v="3742.92"/>
        <n v="1756.02"/>
        <n v="1685.04"/>
        <n v="953.68"/>
        <n v="1482.24"/>
        <n v="2175.63"/>
        <n v="867.68"/>
        <n v="13367.17"/>
        <n v="1316.25"/>
        <n v="8101.1"/>
        <n v="7710.43"/>
        <n v="1922.04"/>
        <n v="980.84"/>
        <n v="446.79"/>
        <n v="11313.16"/>
        <n v="11796.12"/>
        <n v="19394.64"/>
        <n v="1445.85"/>
        <n v="7895.98"/>
        <n v="5219.37"/>
        <n v="1842.75"/>
        <n v="13335.65"/>
        <n v="2388.69"/>
        <n v="13760.13"/>
        <n v="1545.2"/>
        <n v="2090.3200000000002"/>
        <n v="5543.44"/>
        <n v="8316.16"/>
        <n v="1063.52"/>
        <n v="18357"/>
        <n v="68.319999999999993"/>
        <n v="275.24"/>
        <n v="4415.18"/>
        <n v="13172.83"/>
        <n v="10140.9"/>
        <n v="3465.66"/>
        <n v="11039.04"/>
        <n v="8144.6"/>
        <n v="8452.56"/>
        <n v="16047.08"/>
        <n v="17882.84"/>
        <n v="5353.04"/>
        <n v="13510.2"/>
        <n v="2318.46"/>
        <n v="1204.74"/>
        <n v="12443.32"/>
        <n v="17741.52"/>
        <n v="1267.56"/>
        <n v="882"/>
        <n v="674.16"/>
        <n v="5306.22"/>
        <n v="14351.04"/>
        <n v="1549.28"/>
        <n v="13083.36"/>
        <n v="4636.17"/>
        <n v="1222.6400000000001"/>
        <n v="12207.84"/>
        <n v="6063.36"/>
        <n v="3751.02"/>
        <n v="666.33"/>
        <n v="11047.16"/>
        <n v="6412"/>
        <n v="15230.4"/>
        <n v="3923.04"/>
        <n v="13141.7"/>
        <n v="2008.8"/>
        <n v="5432.28"/>
        <n v="1177.92"/>
        <n v="11466"/>
        <n v="5706"/>
        <n v="8604.2800000000007"/>
        <n v="1469.63"/>
        <n v="5006.82"/>
        <n v="12059.78"/>
        <n v="10418.459999999999"/>
        <n v="432"/>
        <n v="6764.66"/>
        <n v="426.56"/>
        <n v="137.02000000000001"/>
        <n v="1852.4"/>
        <n v="2843.35"/>
        <n v="4235.3599999999997"/>
        <n v="27416.7"/>
        <n v="14438.97"/>
        <n v="15626"/>
        <n v="3621.75"/>
        <n v="37625.760000000002"/>
        <n v="639.54"/>
        <n v="5405.7"/>
        <n v="19313.419999999998"/>
        <n v="14220.4"/>
        <n v="10973.83"/>
        <n v="7128"/>
        <n v="1533.2"/>
        <n v="3304.98"/>
        <n v="120.36"/>
        <n v="6287.1"/>
        <n v="3907.84"/>
        <n v="32922.15"/>
        <n v="147.84"/>
        <n v="36041.79"/>
        <n v="497.42"/>
        <n v="18018"/>
        <n v="11201.36"/>
        <n v="8705.31"/>
        <n v="467.84"/>
        <n v="5617.37"/>
        <n v="3510.76"/>
        <n v="13910.56"/>
        <n v="13503.75"/>
        <n v="2727.6"/>
        <n v="7918.82"/>
        <n v="3693.4"/>
        <n v="19760.88"/>
        <n v="2966.4"/>
        <n v="1941.2"/>
        <n v="4430.72"/>
        <n v="9984.6"/>
        <n v="1727.8"/>
        <n v="10966.04"/>
        <n v="32490.31"/>
        <n v="34362.51"/>
        <n v="6263.82"/>
        <n v="2735.04"/>
        <n v="285.76"/>
        <n v="1516.74"/>
        <n v="1456.54"/>
        <n v="2980.96"/>
        <n v="2903.42"/>
        <n v="820.8"/>
        <n v="307.91000000000003"/>
        <n v="3492"/>
        <n v="397.12"/>
        <n v="21836.36"/>
        <n v="4030.82"/>
        <n v="7233.08"/>
        <n v="6517"/>
        <n v="33561.599999999999"/>
        <n v="2568.54"/>
        <n v="4709.25"/>
        <n v="2513.42"/>
        <n v="8436.9599999999991"/>
        <n v="1896.75"/>
        <n v="10325.85"/>
        <n v="1530.32"/>
        <n v="7349.1"/>
        <n v="1306.26"/>
        <n v="28149.24"/>
        <n v="17239.68"/>
        <n v="4530.24"/>
        <n v="1257.23"/>
        <n v="784.68"/>
        <n v="504.84"/>
        <n v="3563.04"/>
        <n v="6851.4"/>
        <n v="16850.59"/>
        <n v="6137.6"/>
        <n v="8239.35"/>
        <n v="123"/>
        <n v="565.44000000000005"/>
        <n v="440.32"/>
        <n v="21405.5"/>
        <n v="10169.66"/>
        <n v="6854.82"/>
        <n v="10014.84"/>
        <n v="12700.75"/>
        <n v="37913.64"/>
        <n v="2495.2800000000002"/>
        <n v="11533.5"/>
        <n v="1439.76"/>
        <n v="995.94"/>
        <n v="28675.62"/>
        <n v="10581.12"/>
        <n v="13979.45"/>
        <n v="3357.9"/>
        <n v="22982.240000000002"/>
        <n v="1376.8"/>
        <n v="11743.52"/>
        <n v="3168.75"/>
        <n v="7285.41"/>
        <n v="28629.119999999999"/>
        <n v="4032.52"/>
        <n v="255.71"/>
        <n v="10169.280000000001"/>
        <n v="6156"/>
        <n v="4365.1899999999996"/>
        <n v="862.11"/>
        <n v="45050.96"/>
        <n v="14616.32"/>
        <n v="618.48"/>
        <n v="5894.98"/>
        <n v="134.88"/>
        <n v="16767.68"/>
        <n v="254.61"/>
        <n v="4.9400000000000004"/>
        <n v="21102.9"/>
        <n v="24681.599999999999"/>
        <n v="4210"/>
        <n v="15184.8"/>
        <n v="717.34"/>
        <n v="177.12"/>
        <n v="2641.76"/>
        <n v="2574.5500000000002"/>
        <n v="365.7"/>
        <n v="453.9"/>
        <n v="3328.8"/>
        <n v="13285.22"/>
        <n v="10497.2"/>
        <n v="7153.58"/>
        <n v="2545.9499999999998"/>
        <n v="1562.88"/>
        <n v="23696.639999999999"/>
        <n v="138.38"/>
        <n v="4295"/>
        <n v="4055.04"/>
        <n v="18561.45"/>
        <n v="48.62"/>
        <n v="25305.279999999999"/>
        <n v="418.46"/>
        <n v="6233.6"/>
        <n v="2036.76"/>
        <n v="11129.93"/>
        <n v="10322.67"/>
        <n v="6926.84"/>
        <n v="29640"/>
        <n v="16416.400000000001"/>
        <n v="1264.5"/>
        <n v="3856.32"/>
        <n v="2816"/>
        <n v="1827.9"/>
        <n v="21640.32"/>
        <n v="4515.59"/>
        <n v="12357.84"/>
        <n v="3953.58"/>
        <n v="285.12"/>
        <n v="800.41"/>
        <n v="556.16"/>
        <n v="11367.51"/>
        <n v="5457.08"/>
        <n v="11981.44"/>
        <n v="17403.75"/>
        <n v="665.98"/>
        <n v="6377.25"/>
        <n v="1125.2"/>
        <n v="12997.6"/>
        <n v="2886"/>
        <n v="12759.4"/>
        <n v="19326.400000000001"/>
        <n v="8327.7000000000007"/>
        <n v="2297.61"/>
        <n v="1463.7"/>
        <n v="1374.75"/>
        <n v="1376.2"/>
        <n v="4988.5200000000004"/>
        <n v="443.76"/>
        <n v="25594.15"/>
        <n v="15527.49"/>
        <n v="29469"/>
        <n v="10314"/>
        <n v="1047.55"/>
        <n v="3784.8"/>
        <n v="1543"/>
        <n v="1336.88"/>
        <n v="2682.46"/>
        <n v="5052.3999999999996"/>
        <n v="4602.45"/>
        <n v="657.92"/>
        <n v="859"/>
        <n v="6600.21"/>
        <n v="516.29999999999995"/>
        <n v="8773.7800000000007"/>
        <n v="28637.14"/>
        <n v="3983.44"/>
        <n v="6019.2"/>
        <n v="3023.16"/>
        <n v="4879.04"/>
        <n v="5403.28"/>
        <n v="19926.72"/>
        <n v="463.66"/>
        <n v="9798.75"/>
        <n v="1539.55"/>
        <n v="12677.98"/>
        <n v="7746.56"/>
        <n v="8742.68"/>
        <n v="6727.68"/>
        <n v="7281.9"/>
        <n v="15143.04"/>
        <n v="23557.52"/>
        <n v="23124.14"/>
        <n v="973.28"/>
        <n v="3684.56"/>
        <n v="2399.6"/>
        <n v="9481.5499999999993"/>
        <n v="13076.42"/>
        <n v="889.48"/>
        <n v="6056.16"/>
        <n v="22208.06"/>
        <n v="3966.6"/>
        <n v="8025.6"/>
        <n v="7611.2"/>
        <n v="8236.7999999999993"/>
        <n v="3262.28"/>
        <n v="411.84"/>
        <n v="970"/>
        <n v="10676.25"/>
        <n v="1282.8800000000001"/>
        <n v="634.38"/>
        <n v="12436.71"/>
      </sharedItems>
    </cacheField>
    <cacheField name="expiryriskstatus" numFmtId="0">
      <sharedItems count="2">
        <s v="Critical: &lt; 30 Days"/>
        <s v="Warning: 31-90 Day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kalra" refreshedDate="46286.694622916664" createdVersion="8" refreshedVersion="8" minRefreshableVersion="3" recordCount="773" xr:uid="{61D683B2-1EAC-4D0C-8914-125BA46C2944}">
  <cacheSource type="worksheet">
    <worksheetSource name="Stock_Analysis_csv"/>
  </cacheSource>
  <cacheFields count="5">
    <cacheField name="productname" numFmtId="0">
      <sharedItems count="100">
        <s v="Medication_57"/>
        <s v="Medication_20"/>
        <s v="Medication_91"/>
        <s v="Medication_15"/>
        <s v="Medication_75"/>
        <s v="Medication_5"/>
        <s v="Medication_19"/>
        <s v="Medication_80"/>
        <s v="Medication_47"/>
        <s v="Medication_11"/>
        <s v="Medication_96"/>
        <s v="Medication_98"/>
        <s v="Medication_31"/>
        <s v="Medication_17"/>
        <s v="Medication_8"/>
        <s v="Medication_79"/>
        <s v="Medication_52"/>
        <s v="Medication_13"/>
        <s v="Medication_77"/>
        <s v="Medication_32"/>
        <s v="Medication_84"/>
        <s v="Medication_7"/>
        <s v="Medication_88"/>
        <s v="Medication_42"/>
        <s v="Medication_61"/>
        <s v="Medication_4"/>
        <s v="Medication_70"/>
        <s v="Medication_82"/>
        <s v="Medication_58"/>
        <s v="Medication_27"/>
        <s v="Medication_99"/>
        <s v="Medication_72"/>
        <s v="Medication_90"/>
        <s v="Medication_87"/>
        <s v="Medication_86"/>
        <s v="Medication_73"/>
        <s v="Medication_67"/>
        <s v="Medication_48"/>
        <s v="Medication_24"/>
        <s v="Medication_60"/>
        <s v="Medication_93"/>
        <s v="Medication_14"/>
        <s v="Medication_23"/>
        <s v="Medication_9"/>
        <s v="Medication_66"/>
        <s v="Medication_36"/>
        <s v="Medication_39"/>
        <s v="Medication_33"/>
        <s v="Medication_2"/>
        <s v="Medication_53"/>
        <s v="Medication_94"/>
        <s v="Medication_65"/>
        <s v="Medication_22"/>
        <s v="Medication_100"/>
        <s v="Medication_30"/>
        <s v="Medication_55"/>
        <s v="Medication_74"/>
        <s v="Medication_12"/>
        <s v="Medication_46"/>
        <s v="Medication_44"/>
        <s v="Medication_6"/>
        <s v="Medication_16"/>
        <s v="Medication_29"/>
        <s v="Medication_43"/>
        <s v="Medication_51"/>
        <s v="Medication_41"/>
        <s v="Medication_37"/>
        <s v="Medication_21"/>
        <s v="Medication_63"/>
        <s v="Medication_26"/>
        <s v="Medication_1"/>
        <s v="Medication_95"/>
        <s v="Medication_54"/>
        <s v="Medication_56"/>
        <s v="Medication_38"/>
        <s v="Medication_76"/>
        <s v="Medication_92"/>
        <s v="Medication_97"/>
        <s v="Medication_69"/>
        <s v="Medication_50"/>
        <s v="Medication_85"/>
        <s v="Medication_10"/>
        <s v="Medication_81"/>
        <s v="Medication_83"/>
        <s v="Medication_28"/>
        <s v="Medication_45"/>
        <s v="Medication_35"/>
        <s v="Medication_25"/>
        <s v="Medication_3"/>
        <s v="Medication_68"/>
        <s v="Medication_59"/>
        <s v="Medication_18"/>
        <s v="Medication_34"/>
        <s v="Medication_49"/>
        <s v="Medication_64"/>
        <s v="Medication_40"/>
        <s v="Medication_78"/>
        <s v="Medication_71"/>
        <s v="Medication_62"/>
        <s v="Medication_89"/>
      </sharedItems>
    </cacheField>
    <cacheField name="facilityname" numFmtId="0">
      <sharedItems/>
    </cacheField>
    <cacheField name="totalsold_last30days" numFmtId="0">
      <sharedItems containsSemiMixedTypes="0" containsString="0" containsNumber="1" containsInteger="1" minValue="5" maxValue="214"/>
    </cacheField>
    <cacheField name="currentstock" numFmtId="0">
      <sharedItems containsSemiMixedTypes="0" containsString="0" containsNumber="1" containsInteger="1" minValue="0" maxValue="948"/>
    </cacheField>
    <cacheField name="sellthroughrate" numFmtId="0">
      <sharedItems containsString="0" containsBlank="1" containsNumber="1" minValue="6.5645514223194746E-3" maxValue="76"/>
    </cacheField>
  </cacheFields>
  <extLst>
    <ext xmlns:x14="http://schemas.microsoft.com/office/spreadsheetml/2009/9/main" uri="{725AE2AE-9491-48be-B2B4-4EB974FC3084}">
      <x14:pivotCacheDefinition pivotCacheId="16015490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 kalra" refreshedDate="46286.698297106479" createdVersion="8" refreshedVersion="8" minRefreshableVersion="3" recordCount="15" xr:uid="{24090F7B-A2B0-403D-A7CB-AB5B06D9372E}">
  <cacheSource type="worksheet">
    <worksheetSource name="Supplier_Lead_Times_csv"/>
  </cacheSource>
  <cacheFields count="3">
    <cacheField name="supplierid" numFmtId="0">
      <sharedItems/>
    </cacheField>
    <cacheField name="suppliername" numFmtId="0">
      <sharedItems count="15">
        <s v="Supplier_A Medical"/>
        <s v="Supplier_B Medical"/>
        <s v="Supplier_C Medical"/>
        <s v="Supplier_D Medical"/>
        <s v="Supplier_E Medical"/>
        <s v="Supplier_F Medical"/>
        <s v="Supplier_G Medical"/>
        <s v="Supplier_H Medical"/>
        <s v="Supplier_I Medical"/>
        <s v="Supplier_J Medical"/>
        <s v="Supplier_K Medical"/>
        <s v="Supplier_L Medical"/>
        <s v="Supplier_M Medical"/>
        <s v="Supplier_N Medical"/>
        <s v="Supplier_O Medical"/>
      </sharedItems>
    </cacheField>
    <cacheField name="averageleadtime_days" numFmtId="0">
      <sharedItems containsSemiMixedTypes="0" containsString="0" containsNumber="1" containsInteger="1" minValue="3" maxValue="20"/>
    </cacheField>
  </cacheFields>
  <extLst>
    <ext xmlns:x14="http://schemas.microsoft.com/office/spreadsheetml/2009/9/main" uri="{725AE2AE-9491-48be-B2B4-4EB974FC3084}">
      <x14:pivotCacheDefinition pivotCacheId="1428755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
  <r>
    <s v="B0102"/>
    <s v="Medication_53"/>
    <n v="218"/>
    <d v="2026-06-12T00:00:00"/>
    <n v="48.7"/>
    <x v="0"/>
    <x v="0"/>
  </r>
  <r>
    <s v="B0698"/>
    <s v="Medication_32"/>
    <n v="339"/>
    <d v="2026-06-14T00:00:00"/>
    <n v="24.04"/>
    <x v="1"/>
    <x v="0"/>
  </r>
  <r>
    <s v="B0840"/>
    <s v="Medication_60"/>
    <n v="204"/>
    <d v="2026-06-14T00:00:00"/>
    <n v="34.33"/>
    <x v="2"/>
    <x v="0"/>
  </r>
  <r>
    <s v="B0178"/>
    <s v="Medication_32"/>
    <n v="357"/>
    <d v="2026-06-20T00:00:00"/>
    <n v="24.04"/>
    <x v="3"/>
    <x v="0"/>
  </r>
  <r>
    <s v="B0483"/>
    <s v="Medication_34"/>
    <n v="353"/>
    <d v="2026-06-21T00:00:00"/>
    <n v="46.55"/>
    <x v="4"/>
    <x v="0"/>
  </r>
  <r>
    <s v="B0092"/>
    <s v="Medication_32"/>
    <n v="349"/>
    <d v="2026-06-22T00:00:00"/>
    <n v="24.04"/>
    <x v="5"/>
    <x v="0"/>
  </r>
  <r>
    <s v="B0894"/>
    <s v="Medication_29"/>
    <n v="183"/>
    <d v="2026-06-27T00:00:00"/>
    <n v="5.01"/>
    <x v="6"/>
    <x v="0"/>
  </r>
  <r>
    <s v="B0469"/>
    <s v="Medication_19"/>
    <n v="764"/>
    <d v="2026-07-05T00:00:00"/>
    <n v="35.72"/>
    <x v="7"/>
    <x v="0"/>
  </r>
  <r>
    <s v="B0040"/>
    <s v="Medication_82"/>
    <n v="126"/>
    <d v="2026-07-06T00:00:00"/>
    <n v="49.5"/>
    <x v="8"/>
    <x v="0"/>
  </r>
  <r>
    <s v="B0144"/>
    <s v="Medication_51"/>
    <n v="363"/>
    <d v="2026-07-07T00:00:00"/>
    <n v="43.52"/>
    <x v="9"/>
    <x v="0"/>
  </r>
  <r>
    <s v="B0909"/>
    <s v="Medication_49"/>
    <n v="77"/>
    <d v="2026-07-10T00:00:00"/>
    <n v="38.630000000000003"/>
    <x v="10"/>
    <x v="0"/>
  </r>
  <r>
    <s v="B0523"/>
    <s v="Medication_92"/>
    <n v="330"/>
    <d v="2026-07-12T00:00:00"/>
    <n v="36.979999999999997"/>
    <x v="11"/>
    <x v="0"/>
  </r>
  <r>
    <s v="B0404"/>
    <s v="Medication_77"/>
    <n v="30"/>
    <d v="2026-07-13T00:00:00"/>
    <n v="28.86"/>
    <x v="12"/>
    <x v="0"/>
  </r>
  <r>
    <s v="B0441"/>
    <s v="Medication_61"/>
    <n v="757"/>
    <d v="2026-07-17T00:00:00"/>
    <n v="27.62"/>
    <x v="13"/>
    <x v="0"/>
  </r>
  <r>
    <s v="B0347"/>
    <s v="Medication_58"/>
    <n v="23"/>
    <d v="2026-07-17T00:00:00"/>
    <n v="31.68"/>
    <x v="14"/>
    <x v="0"/>
  </r>
  <r>
    <s v="B0156"/>
    <s v="Medication_10"/>
    <n v="400"/>
    <d v="2026-07-17T00:00:00"/>
    <n v="34.28"/>
    <x v="15"/>
    <x v="0"/>
  </r>
  <r>
    <s v="B0806"/>
    <s v="Medication_62"/>
    <n v="423"/>
    <d v="2026-07-18T00:00:00"/>
    <n v="36.47"/>
    <x v="16"/>
    <x v="0"/>
  </r>
  <r>
    <s v="B0433"/>
    <s v="Medication_54"/>
    <n v="7"/>
    <d v="2026-07-23T00:00:00"/>
    <n v="2.4700000000000002"/>
    <x v="17"/>
    <x v="0"/>
  </r>
  <r>
    <s v="B0244"/>
    <s v="Medication_70"/>
    <n v="175"/>
    <d v="2026-07-24T00:00:00"/>
    <n v="44.81"/>
    <x v="18"/>
    <x v="0"/>
  </r>
  <r>
    <s v="B0492"/>
    <s v="Medication_29"/>
    <n v="96"/>
    <d v="2026-07-25T00:00:00"/>
    <n v="5.01"/>
    <x v="19"/>
    <x v="0"/>
  </r>
  <r>
    <s v="B0826"/>
    <s v="Medication_51"/>
    <n v="241"/>
    <d v="2026-07-26T00:00:00"/>
    <n v="43.52"/>
    <x v="20"/>
    <x v="0"/>
  </r>
  <r>
    <s v="B0475"/>
    <s v="Medication_73"/>
    <n v="234"/>
    <d v="2026-07-27T00:00:00"/>
    <n v="7.51"/>
    <x v="21"/>
    <x v="0"/>
  </r>
  <r>
    <s v="B0260"/>
    <s v="Medication_99"/>
    <n v="767"/>
    <d v="2026-07-30T00:00:00"/>
    <n v="21.95"/>
    <x v="22"/>
    <x v="0"/>
  </r>
  <r>
    <s v="B0287"/>
    <s v="Medication_45"/>
    <n v="267"/>
    <d v="2026-07-30T00:00:00"/>
    <n v="3.18"/>
    <x v="23"/>
    <x v="0"/>
  </r>
  <r>
    <s v="B0623"/>
    <s v="Medication_55"/>
    <n v="72"/>
    <d v="2026-07-31T00:00:00"/>
    <n v="24.65"/>
    <x v="24"/>
    <x v="0"/>
  </r>
  <r>
    <s v="B0632"/>
    <s v="Medication_14"/>
    <n v="505"/>
    <d v="2026-08-03T00:00:00"/>
    <n v="31.22"/>
    <x v="25"/>
    <x v="0"/>
  </r>
  <r>
    <s v="B0899"/>
    <s v="Medication_71"/>
    <n v="267"/>
    <d v="2026-08-05T00:00:00"/>
    <n v="3.69"/>
    <x v="26"/>
    <x v="0"/>
  </r>
  <r>
    <s v="B0645"/>
    <s v="Medication_98"/>
    <n v="349"/>
    <d v="2026-08-06T00:00:00"/>
    <n v="19.579999999999998"/>
    <x v="27"/>
    <x v="0"/>
  </r>
  <r>
    <s v="B0068"/>
    <s v="Medication_2"/>
    <n v="30"/>
    <d v="2026-08-07T00:00:00"/>
    <n v="1.94"/>
    <x v="28"/>
    <x v="0"/>
  </r>
  <r>
    <s v="B0938"/>
    <s v="Medication_31"/>
    <n v="524"/>
    <d v="2026-08-08T00:00:00"/>
    <n v="46.81"/>
    <x v="29"/>
    <x v="0"/>
  </r>
  <r>
    <s v="B0442"/>
    <s v="Medication_45"/>
    <n v="88"/>
    <d v="2026-08-09T00:00:00"/>
    <n v="3.18"/>
    <x v="30"/>
    <x v="0"/>
  </r>
  <r>
    <s v="B0799"/>
    <s v="Medication_57"/>
    <n v="223"/>
    <d v="2026-08-09T00:00:00"/>
    <n v="48.75"/>
    <x v="31"/>
    <x v="0"/>
  </r>
  <r>
    <s v="B0715"/>
    <s v="Medication_61"/>
    <n v="155"/>
    <d v="2026-08-12T00:00:00"/>
    <n v="27.62"/>
    <x v="32"/>
    <x v="0"/>
  </r>
  <r>
    <s v="B0332"/>
    <s v="Medication_43"/>
    <n v="22"/>
    <d v="2026-08-14T00:00:00"/>
    <n v="31.82"/>
    <x v="33"/>
    <x v="0"/>
  </r>
  <r>
    <s v="B0149"/>
    <s v="Medication_28"/>
    <n v="181"/>
    <d v="2026-08-17T00:00:00"/>
    <n v="1.84"/>
    <x v="34"/>
    <x v="0"/>
  </r>
  <r>
    <s v="B0911"/>
    <s v="Medication_50"/>
    <n v="521"/>
    <d v="2026-08-20T00:00:00"/>
    <n v="2.81"/>
    <x v="35"/>
    <x v="0"/>
  </r>
  <r>
    <s v="B0268"/>
    <s v="Medication_81"/>
    <n v="89"/>
    <d v="2026-08-22T00:00:00"/>
    <n v="5.28"/>
    <x v="36"/>
    <x v="0"/>
  </r>
  <r>
    <s v="B0062"/>
    <s v="Medication_66"/>
    <n v="92"/>
    <d v="2026-08-25T00:00:00"/>
    <n v="43.14"/>
    <x v="37"/>
    <x v="0"/>
  </r>
  <r>
    <s v="B0185"/>
    <s v="Medication_72"/>
    <n v="83"/>
    <d v="2026-09-01T00:00:00"/>
    <n v="42.2"/>
    <x v="38"/>
    <x v="0"/>
  </r>
  <r>
    <s v="B0634"/>
    <s v="Medication_32"/>
    <n v="49"/>
    <d v="2026-09-02T00:00:00"/>
    <n v="24.04"/>
    <x v="39"/>
    <x v="0"/>
  </r>
  <r>
    <s v="B0713"/>
    <s v="Medication_24"/>
    <n v="135"/>
    <d v="2026-09-05T00:00:00"/>
    <n v="18"/>
    <x v="40"/>
    <x v="0"/>
  </r>
  <r>
    <s v="B0935"/>
    <s v="Medication_52"/>
    <n v="546"/>
    <d v="2026-09-08T00:00:00"/>
    <n v="45.95"/>
    <x v="41"/>
    <x v="0"/>
  </r>
  <r>
    <s v="B0053"/>
    <s v="Medication_27"/>
    <n v="221"/>
    <d v="2026-09-10T00:00:00"/>
    <n v="3.74"/>
    <x v="42"/>
    <x v="0"/>
  </r>
  <r>
    <s v="B0585"/>
    <s v="Medication_57"/>
    <n v="576"/>
    <d v="2026-09-10T00:00:00"/>
    <n v="48.75"/>
    <x v="43"/>
    <x v="0"/>
  </r>
  <r>
    <s v="B0890"/>
    <s v="Medication_95"/>
    <n v="239"/>
    <d v="2026-09-10T00:00:00"/>
    <n v="15.09"/>
    <x v="44"/>
    <x v="0"/>
  </r>
  <r>
    <s v="B0886"/>
    <s v="Medication_1"/>
    <n v="263"/>
    <d v="2026-09-11T00:00:00"/>
    <n v="16.03"/>
    <x v="45"/>
    <x v="0"/>
  </r>
  <r>
    <s v="B0209"/>
    <s v="Medication_27"/>
    <n v="213"/>
    <d v="2026-09-12T00:00:00"/>
    <n v="3.74"/>
    <x v="46"/>
    <x v="0"/>
  </r>
  <r>
    <s v="B0819"/>
    <s v="Medication_4"/>
    <n v="190"/>
    <d v="2026-09-14T00:00:00"/>
    <n v="17.18"/>
    <x v="47"/>
    <x v="0"/>
  </r>
  <r>
    <s v="B0307"/>
    <s v="Medication_6"/>
    <n v="179"/>
    <d v="2026-09-15T00:00:00"/>
    <n v="26.31"/>
    <x v="48"/>
    <x v="0"/>
  </r>
  <r>
    <s v="B0574"/>
    <s v="Medication_62"/>
    <n v="43"/>
    <d v="2026-09-16T00:00:00"/>
    <n v="36.47"/>
    <x v="49"/>
    <x v="0"/>
  </r>
  <r>
    <s v="B0658"/>
    <s v="Medication_100"/>
    <n v="12"/>
    <d v="2026-09-21T00:00:00"/>
    <n v="28.16"/>
    <x v="50"/>
    <x v="0"/>
  </r>
  <r>
    <s v="B0116"/>
    <s v="Medication_28"/>
    <n v="346"/>
    <d v="2026-09-21T00:00:00"/>
    <n v="1.84"/>
    <x v="51"/>
    <x v="0"/>
  </r>
  <r>
    <s v="B0034"/>
    <s v="Medication_85"/>
    <n v="429"/>
    <d v="2026-09-21T00:00:00"/>
    <n v="44.95"/>
    <x v="52"/>
    <x v="0"/>
  </r>
  <r>
    <s v="B0167"/>
    <s v="Medication_47"/>
    <n v="139"/>
    <d v="2026-09-21T00:00:00"/>
    <n v="29.93"/>
    <x v="53"/>
    <x v="0"/>
  </r>
  <r>
    <s v="B0803"/>
    <s v="Medication_34"/>
    <n v="319"/>
    <d v="2026-09-22T00:00:00"/>
    <n v="46.55"/>
    <x v="54"/>
    <x v="0"/>
  </r>
  <r>
    <s v="B0747"/>
    <s v="Medication_24"/>
    <n v="123"/>
    <d v="2026-09-22T00:00:00"/>
    <n v="18"/>
    <x v="55"/>
    <x v="0"/>
  </r>
  <r>
    <s v="B0374"/>
    <s v="Medication_26"/>
    <n v="323"/>
    <d v="2026-09-22T00:00:00"/>
    <n v="24.53"/>
    <x v="56"/>
    <x v="0"/>
  </r>
  <r>
    <s v="B0215"/>
    <s v="Medication_11"/>
    <n v="29"/>
    <d v="2026-09-22T00:00:00"/>
    <n v="33.72"/>
    <x v="57"/>
    <x v="0"/>
  </r>
  <r>
    <s v="B0326"/>
    <s v="Medication_66"/>
    <n v="136"/>
    <d v="2026-09-23T00:00:00"/>
    <n v="43.14"/>
    <x v="58"/>
    <x v="0"/>
  </r>
  <r>
    <s v="B0999"/>
    <s v="Medication_84"/>
    <n v="292"/>
    <d v="2026-09-23T00:00:00"/>
    <n v="34.26"/>
    <x v="59"/>
    <x v="0"/>
  </r>
  <r>
    <s v="B0314"/>
    <s v="Medication_14"/>
    <n v="2"/>
    <d v="2026-09-23T00:00:00"/>
    <n v="31.22"/>
    <x v="60"/>
    <x v="0"/>
  </r>
  <r>
    <s v="B0458"/>
    <s v="Medication_79"/>
    <n v="22"/>
    <d v="2026-09-23T00:00:00"/>
    <n v="7.08"/>
    <x v="61"/>
    <x v="0"/>
  </r>
  <r>
    <s v="B0478"/>
    <s v="Medication_17"/>
    <n v="55"/>
    <d v="2026-09-23T00:00:00"/>
    <n v="19.72"/>
    <x v="62"/>
    <x v="0"/>
  </r>
  <r>
    <s v="B0560"/>
    <s v="Medication_60"/>
    <n v="517"/>
    <d v="2026-09-24T00:00:00"/>
    <n v="34.33"/>
    <x v="63"/>
    <x v="0"/>
  </r>
  <r>
    <s v="B0087"/>
    <s v="Medication_41"/>
    <n v="686"/>
    <d v="2026-09-24T00:00:00"/>
    <n v="30.88"/>
    <x v="64"/>
    <x v="0"/>
  </r>
  <r>
    <s v="B0775"/>
    <s v="Medication_23"/>
    <n v="198"/>
    <d v="2026-09-25T00:00:00"/>
    <n v="33.68"/>
    <x v="65"/>
    <x v="0"/>
  </r>
  <r>
    <s v="B0809"/>
    <s v="Medication_45"/>
    <n v="164"/>
    <d v="2026-09-25T00:00:00"/>
    <n v="3.18"/>
    <x v="66"/>
    <x v="0"/>
  </r>
  <r>
    <s v="B0836"/>
    <s v="Medication_17"/>
    <n v="74"/>
    <d v="2026-09-25T00:00:00"/>
    <n v="19.72"/>
    <x v="67"/>
    <x v="0"/>
  </r>
  <r>
    <s v="B0032"/>
    <s v="Medication_42"/>
    <n v="435"/>
    <d v="2026-09-25T00:00:00"/>
    <n v="7"/>
    <x v="68"/>
    <x v="0"/>
  </r>
  <r>
    <s v="B0919"/>
    <s v="Medication_9"/>
    <n v="381"/>
    <d v="2026-09-25T00:00:00"/>
    <n v="11.57"/>
    <x v="69"/>
    <x v="0"/>
  </r>
  <r>
    <s v="B0335"/>
    <s v="Medication_100"/>
    <n v="90"/>
    <d v="2026-09-26T00:00:00"/>
    <n v="28.16"/>
    <x v="70"/>
    <x v="0"/>
  </r>
  <r>
    <s v="B0771"/>
    <s v="Medication_84"/>
    <n v="254"/>
    <d v="2026-09-26T00:00:00"/>
    <n v="34.26"/>
    <x v="71"/>
    <x v="0"/>
  </r>
  <r>
    <s v="B0633"/>
    <s v="Medication_11"/>
    <n v="111"/>
    <d v="2026-09-26T00:00:00"/>
    <n v="33.72"/>
    <x v="72"/>
    <x v="0"/>
  </r>
  <r>
    <s v="B0423"/>
    <s v="Medication_22"/>
    <n v="222"/>
    <d v="2026-09-27T00:00:00"/>
    <n v="7.91"/>
    <x v="73"/>
    <x v="0"/>
  </r>
  <r>
    <s v="B0124"/>
    <s v="Medication_79"/>
    <n v="238"/>
    <d v="2026-09-27T00:00:00"/>
    <n v="7.08"/>
    <x v="74"/>
    <x v="0"/>
  </r>
  <r>
    <s v="B0790"/>
    <s v="Medication_76"/>
    <n v="56"/>
    <d v="2026-09-27T00:00:00"/>
    <n v="17.03"/>
    <x v="75"/>
    <x v="0"/>
  </r>
  <r>
    <s v="B0241"/>
    <s v="Medication_41"/>
    <n v="48"/>
    <d v="2026-09-27T00:00:00"/>
    <n v="30.88"/>
    <x v="76"/>
    <x v="0"/>
  </r>
  <r>
    <s v="B0320"/>
    <s v="Medication_30"/>
    <n v="141"/>
    <d v="2026-09-27T00:00:00"/>
    <n v="15.43"/>
    <x v="77"/>
    <x v="0"/>
  </r>
  <r>
    <s v="B0453"/>
    <s v="Medication_17"/>
    <n v="44"/>
    <d v="2026-09-28T00:00:00"/>
    <n v="19.72"/>
    <x v="78"/>
    <x v="0"/>
  </r>
  <r>
    <s v="B0197"/>
    <s v="Medication_87"/>
    <n v="281"/>
    <d v="2026-09-28T00:00:00"/>
    <n v="47.57"/>
    <x v="79"/>
    <x v="0"/>
  </r>
  <r>
    <s v="B0687"/>
    <s v="Medication_57"/>
    <n v="27"/>
    <d v="2026-09-28T00:00:00"/>
    <n v="48.75"/>
    <x v="80"/>
    <x v="0"/>
  </r>
  <r>
    <s v="B0114"/>
    <s v="Medication_74"/>
    <n v="497"/>
    <d v="2026-09-28T00:00:00"/>
    <n v="16.3"/>
    <x v="81"/>
    <x v="0"/>
  </r>
  <r>
    <s v="B0351"/>
    <s v="Medication_1"/>
    <n v="481"/>
    <d v="2026-09-28T00:00:00"/>
    <n v="16.03"/>
    <x v="82"/>
    <x v="0"/>
  </r>
  <r>
    <s v="B0906"/>
    <s v="Medication_11"/>
    <n v="57"/>
    <d v="2026-09-28T00:00:00"/>
    <n v="33.72"/>
    <x v="83"/>
    <x v="0"/>
  </r>
  <r>
    <s v="B0610"/>
    <s v="Medication_22"/>
    <n v="124"/>
    <d v="2026-09-28T00:00:00"/>
    <n v="7.91"/>
    <x v="84"/>
    <x v="0"/>
  </r>
  <r>
    <s v="B0774"/>
    <s v="Medication_50"/>
    <n v="159"/>
    <d v="2026-09-29T00:00:00"/>
    <n v="2.81"/>
    <x v="85"/>
    <x v="0"/>
  </r>
  <r>
    <s v="B0641"/>
    <s v="Medication_48"/>
    <n v="254"/>
    <d v="2026-09-29T00:00:00"/>
    <n v="44.54"/>
    <x v="86"/>
    <x v="0"/>
  </r>
  <r>
    <s v="B0059"/>
    <s v="Medication_31"/>
    <n v="252"/>
    <d v="2026-09-30T00:00:00"/>
    <n v="46.81"/>
    <x v="87"/>
    <x v="0"/>
  </r>
  <r>
    <s v="B0516"/>
    <s v="Medication_47"/>
    <n v="648"/>
    <d v="2026-09-30T00:00:00"/>
    <n v="29.93"/>
    <x v="88"/>
    <x v="0"/>
  </r>
  <r>
    <s v="B0258"/>
    <s v="Medication_63"/>
    <n v="63"/>
    <d v="2026-09-30T00:00:00"/>
    <n v="22.95"/>
    <x v="89"/>
    <x v="0"/>
  </r>
  <r>
    <s v="B0135"/>
    <s v="Medication_59"/>
    <n v="206"/>
    <d v="2026-10-01T00:00:00"/>
    <n v="38.33"/>
    <x v="90"/>
    <x v="0"/>
  </r>
  <r>
    <s v="B0916"/>
    <s v="Medication_35"/>
    <n v="117"/>
    <d v="2026-10-01T00:00:00"/>
    <n v="44.61"/>
    <x v="91"/>
    <x v="0"/>
  </r>
  <r>
    <s v="B0827"/>
    <s v="Medication_88"/>
    <n v="63"/>
    <d v="2026-10-01T00:00:00"/>
    <n v="29.25"/>
    <x v="92"/>
    <x v="0"/>
  </r>
  <r>
    <s v="B0487"/>
    <s v="Medication_55"/>
    <n v="541"/>
    <d v="2026-10-02T00:00:00"/>
    <n v="24.65"/>
    <x v="93"/>
    <x v="0"/>
  </r>
  <r>
    <s v="B0073"/>
    <s v="Medication_67"/>
    <n v="243"/>
    <d v="2026-10-02T00:00:00"/>
    <n v="9.83"/>
    <x v="94"/>
    <x v="0"/>
  </r>
  <r>
    <s v="B0767"/>
    <s v="Medication_6"/>
    <n v="523"/>
    <d v="2026-10-02T00:00:00"/>
    <n v="26.31"/>
    <x v="95"/>
    <x v="0"/>
  </r>
  <r>
    <s v="B0988"/>
    <s v="Medication_49"/>
    <n v="40"/>
    <d v="2026-10-02T00:00:00"/>
    <n v="38.630000000000003"/>
    <x v="96"/>
    <x v="0"/>
  </r>
  <r>
    <s v="B0050"/>
    <s v="Medication_17"/>
    <n v="106"/>
    <d v="2026-10-03T00:00:00"/>
    <n v="19.72"/>
    <x v="97"/>
    <x v="0"/>
  </r>
  <r>
    <s v="B0377"/>
    <s v="Medication_62"/>
    <n v="152"/>
    <d v="2026-10-03T00:00:00"/>
    <n v="36.47"/>
    <x v="98"/>
    <x v="0"/>
  </r>
  <r>
    <s v="B0460"/>
    <s v="Medication_91"/>
    <n v="356"/>
    <d v="2026-10-03T00:00:00"/>
    <n v="23.36"/>
    <x v="99"/>
    <x v="0"/>
  </r>
  <r>
    <s v="B0801"/>
    <s v="Medication_18"/>
    <n v="46"/>
    <d v="2026-10-04T00:00:00"/>
    <n v="23.12"/>
    <x v="100"/>
    <x v="0"/>
  </r>
  <r>
    <s v="B0873"/>
    <s v="Medication_72"/>
    <n v="435"/>
    <d v="2026-10-04T00:00:00"/>
    <n v="42.2"/>
    <x v="101"/>
    <x v="0"/>
  </r>
  <r>
    <s v="B0380"/>
    <s v="Medication_75"/>
    <n v="8"/>
    <d v="2026-10-04T00:00:00"/>
    <n v="8.5399999999999991"/>
    <x v="102"/>
    <x v="0"/>
  </r>
  <r>
    <s v="B0193"/>
    <s v="Medication_67"/>
    <n v="28"/>
    <d v="2026-10-04T00:00:00"/>
    <n v="9.83"/>
    <x v="103"/>
    <x v="0"/>
  </r>
  <r>
    <s v="B0619"/>
    <s v="Medication_75"/>
    <n v="517"/>
    <d v="2026-10-05T00:00:00"/>
    <n v="8.5399999999999991"/>
    <x v="104"/>
    <x v="0"/>
  </r>
  <r>
    <s v="B0211"/>
    <s v="Medication_49"/>
    <n v="341"/>
    <d v="2026-10-05T00:00:00"/>
    <n v="38.630000000000003"/>
    <x v="105"/>
    <x v="0"/>
  </r>
  <r>
    <s v="B0754"/>
    <s v="Medication_99"/>
    <n v="462"/>
    <d v="2026-10-05T00:00:00"/>
    <n v="21.95"/>
    <x v="106"/>
    <x v="0"/>
  </r>
  <r>
    <s v="B0732"/>
    <s v="Medication_98"/>
    <n v="177"/>
    <d v="2026-10-06T00:00:00"/>
    <n v="19.579999999999998"/>
    <x v="107"/>
    <x v="0"/>
  </r>
  <r>
    <s v="B0012"/>
    <s v="Medication_59"/>
    <n v="288"/>
    <d v="2026-10-06T00:00:00"/>
    <n v="38.33"/>
    <x v="108"/>
    <x v="0"/>
  </r>
  <r>
    <s v="B0455"/>
    <s v="Medication_72"/>
    <n v="193"/>
    <d v="2026-10-06T00:00:00"/>
    <n v="42.2"/>
    <x v="109"/>
    <x v="0"/>
  </r>
  <r>
    <s v="B0524"/>
    <s v="Medication_5"/>
    <n v="246"/>
    <d v="2026-10-06T00:00:00"/>
    <n v="34.36"/>
    <x v="110"/>
    <x v="0"/>
  </r>
  <r>
    <s v="B0465"/>
    <s v="Medication_14"/>
    <n v="514"/>
    <d v="2026-10-06T00:00:00"/>
    <n v="31.22"/>
    <x v="111"/>
    <x v="0"/>
  </r>
  <r>
    <s v="B0226"/>
    <s v="Medication_43"/>
    <n v="562"/>
    <d v="2026-10-06T00:00:00"/>
    <n v="31.82"/>
    <x v="112"/>
    <x v="0"/>
  </r>
  <r>
    <s v="B0341"/>
    <s v="Medication_97"/>
    <n v="154"/>
    <d v="2026-10-06T00:00:00"/>
    <n v="34.76"/>
    <x v="113"/>
    <x v="0"/>
  </r>
  <r>
    <s v="B0345"/>
    <s v="Medication_98"/>
    <n v="690"/>
    <d v="2026-10-06T00:00:00"/>
    <n v="19.579999999999998"/>
    <x v="114"/>
    <x v="0"/>
  </r>
  <r>
    <s v="B0734"/>
    <s v="Medication_78"/>
    <n v="51"/>
    <d v="2026-10-06T00:00:00"/>
    <n v="45.46"/>
    <x v="115"/>
    <x v="0"/>
  </r>
  <r>
    <s v="B0224"/>
    <s v="Medication_2"/>
    <n v="621"/>
    <d v="2026-10-07T00:00:00"/>
    <n v="1.94"/>
    <x v="116"/>
    <x v="0"/>
  </r>
  <r>
    <s v="B0748"/>
    <s v="Medication_17"/>
    <n v="631"/>
    <d v="2026-10-07T00:00:00"/>
    <n v="19.72"/>
    <x v="117"/>
    <x v="0"/>
  </r>
  <r>
    <s v="B0286"/>
    <s v="Medication_36"/>
    <n v="369"/>
    <d v="2026-10-07T00:00:00"/>
    <n v="48.08"/>
    <x v="118"/>
    <x v="0"/>
  </r>
  <r>
    <s v="B0284"/>
    <s v="Medication_95"/>
    <n v="84"/>
    <d v="2026-10-07T00:00:00"/>
    <n v="15.09"/>
    <x v="119"/>
    <x v="0"/>
  </r>
  <r>
    <s v="B0188"/>
    <s v="Medication_24"/>
    <n v="49"/>
    <d v="2026-10-07T00:00:00"/>
    <n v="18"/>
    <x v="120"/>
    <x v="0"/>
  </r>
  <r>
    <s v="B0883"/>
    <s v="Medication_45"/>
    <n v="212"/>
    <d v="2026-10-07T00:00:00"/>
    <n v="3.18"/>
    <x v="121"/>
    <x v="0"/>
  </r>
  <r>
    <s v="B0192"/>
    <s v="Medication_66"/>
    <n v="123"/>
    <d v="2026-10-07T00:00:00"/>
    <n v="43.14"/>
    <x v="122"/>
    <x v="0"/>
  </r>
  <r>
    <s v="B0908"/>
    <s v="Medication_58"/>
    <n v="453"/>
    <d v="2026-10-07T00:00:00"/>
    <n v="31.68"/>
    <x v="123"/>
    <x v="0"/>
  </r>
  <r>
    <s v="B0606"/>
    <s v="Medication_28"/>
    <n v="842"/>
    <d v="2026-10-07T00:00:00"/>
    <n v="1.84"/>
    <x v="124"/>
    <x v="0"/>
  </r>
  <r>
    <s v="B0049"/>
    <s v="Medication_11"/>
    <n v="388"/>
    <d v="2026-10-07T00:00:00"/>
    <n v="33.72"/>
    <x v="125"/>
    <x v="0"/>
  </r>
  <r>
    <s v="B0664"/>
    <s v="Medication_26"/>
    <n v="189"/>
    <d v="2026-10-07T00:00:00"/>
    <n v="24.53"/>
    <x v="126"/>
    <x v="0"/>
  </r>
  <r>
    <s v="B0699"/>
    <s v="Medication_96"/>
    <n v="232"/>
    <d v="2026-10-08T00:00:00"/>
    <n v="5.27"/>
    <x v="127"/>
    <x v="0"/>
  </r>
  <r>
    <s v="B0782"/>
    <s v="Medication_6"/>
    <n v="464"/>
    <d v="2026-10-08T00:00:00"/>
    <n v="26.31"/>
    <x v="128"/>
    <x v="0"/>
  </r>
  <r>
    <s v="B0685"/>
    <s v="Medication_56"/>
    <n v="128"/>
    <d v="2026-10-08T00:00:00"/>
    <n v="47.37"/>
    <x v="129"/>
    <x v="0"/>
  </r>
  <r>
    <s v="B0334"/>
    <s v="Medication_1"/>
    <n v="234"/>
    <d v="2026-10-08T00:00:00"/>
    <n v="16.03"/>
    <x v="130"/>
    <x v="0"/>
  </r>
  <r>
    <s v="B0537"/>
    <s v="Medication_29"/>
    <n v="133"/>
    <d v="2026-10-08T00:00:00"/>
    <n v="5.01"/>
    <x v="131"/>
    <x v="0"/>
  </r>
  <r>
    <s v="B0280"/>
    <s v="Medication_31"/>
    <n v="236"/>
    <d v="2026-10-09T00:00:00"/>
    <n v="46.81"/>
    <x v="132"/>
    <x v="0"/>
  </r>
  <r>
    <s v="B0173"/>
    <s v="Medication_1"/>
    <n v="400"/>
    <d v="2026-10-09T00:00:00"/>
    <n v="16.03"/>
    <x v="133"/>
    <x v="0"/>
  </r>
  <r>
    <s v="B0288"/>
    <s v="Medication_39"/>
    <n v="334"/>
    <d v="2026-10-09T00:00:00"/>
    <n v="45.6"/>
    <x v="134"/>
    <x v="0"/>
  </r>
  <r>
    <s v="B0306"/>
    <s v="Medication_81"/>
    <n v="743"/>
    <d v="2026-10-09T00:00:00"/>
    <n v="5.28"/>
    <x v="135"/>
    <x v="0"/>
  </r>
  <r>
    <s v="B0530"/>
    <s v="Medication_52"/>
    <n v="286"/>
    <d v="2026-10-09T00:00:00"/>
    <n v="45.95"/>
    <x v="136"/>
    <x v="0"/>
  </r>
  <r>
    <s v="B0572"/>
    <s v="Medication_40"/>
    <n v="120"/>
    <d v="2026-10-09T00:00:00"/>
    <n v="16.739999999999998"/>
    <x v="137"/>
    <x v="0"/>
  </r>
  <r>
    <s v="B0595"/>
    <s v="Medication_14"/>
    <n v="174"/>
    <d v="2026-10-09T00:00:00"/>
    <n v="31.22"/>
    <x v="138"/>
    <x v="0"/>
  </r>
  <r>
    <s v="B0644"/>
    <s v="Medication_80"/>
    <n v="144"/>
    <d v="2026-10-09T00:00:00"/>
    <n v="8.18"/>
    <x v="139"/>
    <x v="0"/>
  </r>
  <r>
    <s v="B0802"/>
    <s v="Medication_88"/>
    <n v="392"/>
    <d v="2026-10-09T00:00:00"/>
    <n v="29.25"/>
    <x v="140"/>
    <x v="0"/>
  </r>
  <r>
    <s v="B0984"/>
    <s v="Medication_24"/>
    <n v="317"/>
    <d v="2026-10-10T00:00:00"/>
    <n v="18"/>
    <x v="141"/>
    <x v="0"/>
  </r>
  <r>
    <s v="B0900"/>
    <s v="Medication_10"/>
    <n v="251"/>
    <d v="2026-10-10T00:00:00"/>
    <n v="34.28"/>
    <x v="142"/>
    <x v="0"/>
  </r>
  <r>
    <s v="B0063"/>
    <s v="Medication_50"/>
    <n v="523"/>
    <d v="2026-10-10T00:00:00"/>
    <n v="2.81"/>
    <x v="143"/>
    <x v="0"/>
  </r>
  <r>
    <s v="B0897"/>
    <s v="Medication_76"/>
    <n v="294"/>
    <d v="2026-10-10T00:00:00"/>
    <n v="17.03"/>
    <x v="144"/>
    <x v="0"/>
  </r>
  <r>
    <s v="B0592"/>
    <s v="Medication_43"/>
    <n v="379"/>
    <d v="2026-10-11T00:00:00"/>
    <n v="31.82"/>
    <x v="145"/>
    <x v="0"/>
  </r>
  <r>
    <s v="B0852"/>
    <s v="Medication_77"/>
    <n v="361"/>
    <d v="2026-10-11T00:00:00"/>
    <n v="28.86"/>
    <x v="146"/>
    <x v="0"/>
  </r>
  <r>
    <s v="B0387"/>
    <s v="Medication_24"/>
    <n v="24"/>
    <d v="2026-10-11T00:00:00"/>
    <n v="18"/>
    <x v="147"/>
    <x v="0"/>
  </r>
  <r>
    <s v="B0148"/>
    <s v="Medication_1"/>
    <n v="422"/>
    <d v="2026-10-12T00:00:00"/>
    <n v="16.03"/>
    <x v="148"/>
    <x v="0"/>
  </r>
  <r>
    <s v="B0971"/>
    <s v="Medication_8"/>
    <n v="31"/>
    <d v="2026-10-12T00:00:00"/>
    <n v="13.76"/>
    <x v="149"/>
    <x v="0"/>
  </r>
  <r>
    <s v="B0388"/>
    <s v="Medication_96"/>
    <n v="26"/>
    <d v="2026-10-13T00:00:00"/>
    <n v="5.27"/>
    <x v="150"/>
    <x v="0"/>
  </r>
  <r>
    <s v="B0157"/>
    <s v="Medication_23"/>
    <n v="55"/>
    <d v="2026-10-13T00:00:00"/>
    <n v="33.68"/>
    <x v="151"/>
    <x v="0"/>
  </r>
  <r>
    <s v="B0932"/>
    <s v="Medication_47"/>
    <n v="95"/>
    <d v="2026-10-13T00:00:00"/>
    <n v="29.93"/>
    <x v="152"/>
    <x v="0"/>
  </r>
  <r>
    <s v="B0511"/>
    <s v="Medication_93"/>
    <n v="103"/>
    <d v="2026-10-13T00:00:00"/>
    <n v="41.12"/>
    <x v="153"/>
    <x v="0"/>
  </r>
  <r>
    <s v="B0822"/>
    <s v="Medication_3"/>
    <n v="738"/>
    <d v="2026-10-13T00:00:00"/>
    <n v="37.15"/>
    <x v="154"/>
    <x v="0"/>
  </r>
  <r>
    <s v="B0865"/>
    <s v="Medication_12"/>
    <n v="387"/>
    <d v="2026-10-13T00:00:00"/>
    <n v="37.31"/>
    <x v="155"/>
    <x v="0"/>
  </r>
  <r>
    <s v="B0121"/>
    <s v="Medication_36"/>
    <n v="325"/>
    <d v="2026-10-13T00:00:00"/>
    <n v="48.08"/>
    <x v="156"/>
    <x v="0"/>
  </r>
  <r>
    <s v="B0520"/>
    <s v="Medication_99"/>
    <n v="165"/>
    <d v="2026-10-13T00:00:00"/>
    <n v="21.95"/>
    <x v="157"/>
    <x v="0"/>
  </r>
  <r>
    <s v="B0248"/>
    <s v="Medication_83"/>
    <n v="848"/>
    <d v="2026-10-13T00:00:00"/>
    <n v="44.37"/>
    <x v="158"/>
    <x v="0"/>
  </r>
  <r>
    <s v="B0640"/>
    <s v="Medication_27"/>
    <n v="171"/>
    <d v="2026-10-14T00:00:00"/>
    <n v="3.74"/>
    <x v="159"/>
    <x v="0"/>
  </r>
  <r>
    <s v="B0722"/>
    <s v="Medication_53"/>
    <n v="111"/>
    <d v="2026-10-14T00:00:00"/>
    <n v="48.7"/>
    <x v="160"/>
    <x v="0"/>
  </r>
  <r>
    <s v="B0208"/>
    <s v="Medication_87"/>
    <n v="406"/>
    <d v="2026-10-15T00:00:00"/>
    <n v="47.57"/>
    <x v="161"/>
    <x v="0"/>
  </r>
  <r>
    <s v="B0963"/>
    <s v="Medication_53"/>
    <n v="292"/>
    <d v="2026-10-15T00:00:00"/>
    <n v="48.7"/>
    <x v="162"/>
    <x v="0"/>
  </r>
  <r>
    <s v="B0429"/>
    <s v="Medication_94"/>
    <n v="223"/>
    <d v="2026-10-15T00:00:00"/>
    <n v="49.21"/>
    <x v="163"/>
    <x v="0"/>
  </r>
  <r>
    <s v="B0608"/>
    <s v="Medication_82"/>
    <n v="144"/>
    <d v="2026-10-15T00:00:00"/>
    <n v="49.5"/>
    <x v="164"/>
    <x v="0"/>
  </r>
  <r>
    <s v="B0755"/>
    <s v="Medication_59"/>
    <n v="40"/>
    <d v="2026-10-15T00:00:00"/>
    <n v="38.33"/>
    <x v="165"/>
    <x v="0"/>
  </r>
  <r>
    <s v="B0058"/>
    <s v="Medication_75"/>
    <n v="387"/>
    <d v="2026-10-15T00:00:00"/>
    <n v="8.5399999999999991"/>
    <x v="166"/>
    <x v="0"/>
  </r>
  <r>
    <s v="B0298"/>
    <s v="Medication_79"/>
    <n v="17"/>
    <d v="2026-10-15T00:00:00"/>
    <n v="7.08"/>
    <x v="167"/>
    <x v="0"/>
  </r>
  <r>
    <s v="B0128"/>
    <s v="Medication_44"/>
    <n v="285"/>
    <d v="2026-10-15T00:00:00"/>
    <n v="22.06"/>
    <x v="168"/>
    <x v="0"/>
  </r>
  <r>
    <s v="B0989"/>
    <s v="Medication_8"/>
    <n v="284"/>
    <d v="2026-10-15T00:00:00"/>
    <n v="13.76"/>
    <x v="169"/>
    <x v="0"/>
  </r>
  <r>
    <s v="B0875"/>
    <s v="Medication_56"/>
    <n v="695"/>
    <d v="2026-10-16T00:00:00"/>
    <n v="47.37"/>
    <x v="170"/>
    <x v="0"/>
  </r>
  <r>
    <s v="B0200"/>
    <s v="Medication_15"/>
    <n v="96"/>
    <d v="2026-10-16T00:00:00"/>
    <n v="1.54"/>
    <x v="171"/>
    <x v="0"/>
  </r>
  <r>
    <s v="B0015"/>
    <s v="Medication_49"/>
    <n v="933"/>
    <d v="2026-10-16T00:00:00"/>
    <n v="38.630000000000003"/>
    <x v="172"/>
    <x v="0"/>
  </r>
  <r>
    <s v="B0964"/>
    <s v="Medication_27"/>
    <n v="133"/>
    <d v="2026-10-16T00:00:00"/>
    <n v="3.74"/>
    <x v="173"/>
    <x v="0"/>
  </r>
  <r>
    <s v="B0506"/>
    <s v="Medication_82"/>
    <n v="364"/>
    <d v="2026-10-17T00:00:00"/>
    <n v="49.5"/>
    <x v="174"/>
    <x v="0"/>
  </r>
  <r>
    <s v="B0060"/>
    <s v="Medication_5"/>
    <n v="326"/>
    <d v="2026-10-17T00:00:00"/>
    <n v="34.36"/>
    <x v="175"/>
    <x v="0"/>
  </r>
  <r>
    <s v="B0338"/>
    <s v="Medication_87"/>
    <n v="183"/>
    <d v="2026-10-17T00:00:00"/>
    <n v="47.57"/>
    <x v="176"/>
    <x v="0"/>
  </r>
  <r>
    <s v="B0086"/>
    <s v="Medication_8"/>
    <n v="34"/>
    <d v="2026-10-17T00:00:00"/>
    <n v="13.76"/>
    <x v="177"/>
    <x v="0"/>
  </r>
  <r>
    <s v="B0445"/>
    <s v="Medication_26"/>
    <n v="229"/>
    <d v="2026-10-18T00:00:00"/>
    <n v="24.53"/>
    <x v="178"/>
    <x v="0"/>
  </r>
  <r>
    <s v="B0299"/>
    <s v="Medication_97"/>
    <n v="101"/>
    <d v="2026-10-18T00:00:00"/>
    <n v="34.76"/>
    <x v="179"/>
    <x v="0"/>
  </r>
  <r>
    <s v="B0763"/>
    <s v="Medication_68"/>
    <n v="454"/>
    <d v="2026-10-18T00:00:00"/>
    <n v="30.64"/>
    <x v="180"/>
    <x v="0"/>
  </r>
  <r>
    <s v="B0265"/>
    <s v="Medication_57"/>
    <n v="277"/>
    <d v="2026-10-18T00:00:00"/>
    <n v="48.75"/>
    <x v="181"/>
    <x v="0"/>
  </r>
  <r>
    <s v="B0405"/>
    <s v="Medication_78"/>
    <n v="60"/>
    <d v="2026-10-18T00:00:00"/>
    <n v="45.46"/>
    <x v="182"/>
    <x v="0"/>
  </r>
  <r>
    <s v="B0812"/>
    <s v="Medication_1"/>
    <n v="494"/>
    <d v="2026-10-19T00:00:00"/>
    <n v="16.03"/>
    <x v="183"/>
    <x v="0"/>
  </r>
  <r>
    <s v="B0628"/>
    <s v="Medication_33"/>
    <n v="118"/>
    <d v="2026-10-19T00:00:00"/>
    <n v="31.3"/>
    <x v="184"/>
    <x v="0"/>
  </r>
  <r>
    <s v="B0669"/>
    <s v="Medication_36"/>
    <n v="411"/>
    <d v="2026-10-19T00:00:00"/>
    <n v="48.08"/>
    <x v="185"/>
    <x v="0"/>
  </r>
  <r>
    <s v="B0586"/>
    <s v="Medication_89"/>
    <n v="320"/>
    <d v="2026-10-19T00:00:00"/>
    <n v="9.27"/>
    <x v="186"/>
    <x v="0"/>
  </r>
  <r>
    <s v="B0513"/>
    <s v="Medication_72"/>
    <n v="46"/>
    <d v="2026-10-19T00:00:00"/>
    <n v="42.2"/>
    <x v="187"/>
    <x v="0"/>
  </r>
  <r>
    <s v="B0313"/>
    <s v="Medication_8"/>
    <n v="322"/>
    <d v="2026-10-20T00:00:00"/>
    <n v="13.76"/>
    <x v="188"/>
    <x v="0"/>
  </r>
  <r>
    <s v="B0291"/>
    <s v="Medication_92"/>
    <n v="270"/>
    <d v="2026-10-20T00:00:00"/>
    <n v="36.979999999999997"/>
    <x v="189"/>
    <x v="0"/>
  </r>
  <r>
    <s v="B0749"/>
    <s v="Medication_74"/>
    <n v="106"/>
    <d v="2026-10-20T00:00:00"/>
    <n v="16.3"/>
    <x v="190"/>
    <x v="0"/>
  </r>
  <r>
    <s v="B0716"/>
    <s v="Medication_19"/>
    <n v="307"/>
    <d v="2026-10-20T00:00:00"/>
    <n v="35.72"/>
    <x v="191"/>
    <x v="0"/>
  </r>
  <r>
    <s v="B0234"/>
    <s v="Medication_87"/>
    <n v="683"/>
    <d v="2026-10-20T00:00:00"/>
    <n v="47.57"/>
    <x v="192"/>
    <x v="0"/>
  </r>
  <r>
    <s v="B0066"/>
    <s v="Medication_12"/>
    <n v="921"/>
    <d v="2026-10-21T00:00:00"/>
    <n v="37.31"/>
    <x v="193"/>
    <x v="0"/>
  </r>
  <r>
    <s v="B0184"/>
    <s v="Medication_38"/>
    <n v="207"/>
    <d v="2026-10-21T00:00:00"/>
    <n v="30.26"/>
    <x v="194"/>
    <x v="0"/>
  </r>
  <r>
    <s v="B0630"/>
    <s v="Medication_64"/>
    <n v="168"/>
    <d v="2026-10-21T00:00:00"/>
    <n v="16.28"/>
    <x v="195"/>
    <x v="0"/>
  </r>
  <r>
    <s v="B0359"/>
    <s v="Medication_19"/>
    <n v="8"/>
    <d v="2026-10-22T00:00:00"/>
    <n v="35.72"/>
    <x v="196"/>
    <x v="1"/>
  </r>
  <r>
    <s v="B0350"/>
    <s v="Medication_35"/>
    <n v="34"/>
    <d v="2026-10-23T00:00:00"/>
    <n v="44.61"/>
    <x v="197"/>
    <x v="1"/>
  </r>
  <r>
    <s v="B0961"/>
    <s v="Medication_59"/>
    <n v="38"/>
    <d v="2026-10-23T00:00:00"/>
    <n v="38.33"/>
    <x v="198"/>
    <x v="1"/>
  </r>
  <r>
    <s v="B0706"/>
    <s v="Medication_32"/>
    <n v="124"/>
    <d v="2026-10-23T00:00:00"/>
    <n v="24.04"/>
    <x v="199"/>
    <x v="1"/>
  </r>
  <r>
    <s v="B0391"/>
    <s v="Medication_4"/>
    <n v="169"/>
    <d v="2026-10-23T00:00:00"/>
    <n v="17.18"/>
    <x v="200"/>
    <x v="1"/>
  </r>
  <r>
    <s v="B0468"/>
    <s v="Medication_20"/>
    <n v="135"/>
    <d v="2026-10-24T00:00:00"/>
    <n v="6.08"/>
    <x v="201"/>
    <x v="1"/>
  </r>
  <r>
    <s v="B0983"/>
    <s v="Medication_73"/>
    <n v="41"/>
    <d v="2026-10-25T00:00:00"/>
    <n v="7.51"/>
    <x v="202"/>
    <x v="1"/>
  </r>
  <r>
    <s v="B0435"/>
    <s v="Medication_24"/>
    <n v="194"/>
    <d v="2026-10-25T00:00:00"/>
    <n v="18"/>
    <x v="203"/>
    <x v="1"/>
  </r>
  <r>
    <s v="B0967"/>
    <s v="Medication_91"/>
    <n v="17"/>
    <d v="2026-10-25T00:00:00"/>
    <n v="23.36"/>
    <x v="204"/>
    <x v="1"/>
  </r>
  <r>
    <s v="B0679"/>
    <s v="Medication_10"/>
    <n v="637"/>
    <d v="2026-10-25T00:00:00"/>
    <n v="34.28"/>
    <x v="205"/>
    <x v="1"/>
  </r>
  <r>
    <s v="B0903"/>
    <s v="Medication_92"/>
    <n v="109"/>
    <d v="2026-10-25T00:00:00"/>
    <n v="36.979999999999997"/>
    <x v="206"/>
    <x v="1"/>
  </r>
  <r>
    <s v="B0862"/>
    <s v="Medication_10"/>
    <n v="211"/>
    <d v="2026-10-26T00:00:00"/>
    <n v="34.28"/>
    <x v="207"/>
    <x v="1"/>
  </r>
  <r>
    <s v="B0227"/>
    <s v="Medication_34"/>
    <n v="140"/>
    <d v="2026-10-26T00:00:00"/>
    <n v="46.55"/>
    <x v="208"/>
    <x v="1"/>
  </r>
  <r>
    <s v="B0065"/>
    <s v="Medication_39"/>
    <n v="736"/>
    <d v="2026-10-26T00:00:00"/>
    <n v="45.6"/>
    <x v="209"/>
    <x v="1"/>
  </r>
  <r>
    <s v="B0675"/>
    <s v="Medication_77"/>
    <n v="89"/>
    <d v="2026-10-27T00:00:00"/>
    <n v="28.86"/>
    <x v="210"/>
    <x v="1"/>
  </r>
  <r>
    <s v="B0205"/>
    <s v="Medication_88"/>
    <n v="161"/>
    <d v="2026-10-28T00:00:00"/>
    <n v="29.25"/>
    <x v="211"/>
    <x v="1"/>
  </r>
  <r>
    <s v="B0316"/>
    <s v="Medication_61"/>
    <n v="91"/>
    <d v="2026-10-28T00:00:00"/>
    <n v="27.62"/>
    <x v="212"/>
    <x v="1"/>
  </r>
  <r>
    <s v="B0959"/>
    <s v="Medication_40"/>
    <n v="504"/>
    <d v="2026-10-28T00:00:00"/>
    <n v="16.739999999999998"/>
    <x v="213"/>
    <x v="1"/>
  </r>
  <r>
    <s v="B0409"/>
    <s v="Medication_50"/>
    <n v="675"/>
    <d v="2026-10-28T00:00:00"/>
    <n v="2.81"/>
    <x v="214"/>
    <x v="1"/>
  </r>
  <r>
    <s v="B0071"/>
    <s v="Medication_47"/>
    <n v="345"/>
    <d v="2026-10-29T00:00:00"/>
    <n v="29.93"/>
    <x v="215"/>
    <x v="1"/>
  </r>
  <r>
    <s v="B0095"/>
    <s v="Medication_64"/>
    <n v="94"/>
    <d v="2026-10-29T00:00:00"/>
    <n v="16.28"/>
    <x v="216"/>
    <x v="1"/>
  </r>
  <r>
    <s v="B0498"/>
    <s v="Medication_48"/>
    <n v="165"/>
    <d v="2026-10-29T00:00:00"/>
    <n v="44.54"/>
    <x v="217"/>
    <x v="1"/>
  </r>
  <r>
    <s v="B0838"/>
    <s v="Medication_71"/>
    <n v="354"/>
    <d v="2026-10-29T00:00:00"/>
    <n v="3.69"/>
    <x v="218"/>
    <x v="1"/>
  </r>
  <r>
    <s v="B0386"/>
    <s v="Medication_86"/>
    <n v="564"/>
    <d v="2026-10-31T00:00:00"/>
    <n v="49.91"/>
    <x v="219"/>
    <x v="1"/>
  </r>
  <r>
    <s v="B0231"/>
    <s v="Medication_47"/>
    <n v="576"/>
    <d v="2026-10-31T00:00:00"/>
    <n v="29.93"/>
    <x v="220"/>
    <x v="1"/>
  </r>
  <r>
    <s v="B0765"/>
    <s v="Medication_58"/>
    <n v="143"/>
    <d v="2026-11-01T00:00:00"/>
    <n v="31.68"/>
    <x v="221"/>
    <x v="1"/>
  </r>
  <r>
    <s v="B0479"/>
    <s v="Medication_54"/>
    <n v="509"/>
    <d v="2026-11-01T00:00:00"/>
    <n v="2.4700000000000002"/>
    <x v="222"/>
    <x v="1"/>
  </r>
  <r>
    <s v="B0703"/>
    <s v="Medication_95"/>
    <n v="52"/>
    <d v="2026-11-02T00:00:00"/>
    <n v="15.09"/>
    <x v="223"/>
    <x v="1"/>
  </r>
  <r>
    <s v="B0541"/>
    <s v="Medication_32"/>
    <n v="21"/>
    <d v="2026-11-02T00:00:00"/>
    <n v="24.04"/>
    <x v="224"/>
    <x v="1"/>
  </r>
  <r>
    <s v="B0599"/>
    <s v="Medication_84"/>
    <n v="104"/>
    <d v="2026-11-02T00:00:00"/>
    <n v="34.26"/>
    <x v="225"/>
    <x v="1"/>
  </r>
  <r>
    <s v="B0995"/>
    <s v="Medication_32"/>
    <n v="285"/>
    <d v="2026-11-02T00:00:00"/>
    <n v="24.04"/>
    <x v="226"/>
    <x v="1"/>
  </r>
  <r>
    <s v="B0340"/>
    <s v="Medication_47"/>
    <n v="563"/>
    <d v="2026-11-02T00:00:00"/>
    <n v="29.93"/>
    <x v="227"/>
    <x v="1"/>
  </r>
  <r>
    <s v="B0798"/>
    <s v="Medication_7"/>
    <n v="320"/>
    <d v="2026-11-03T00:00:00"/>
    <n v="19.18"/>
    <x v="228"/>
    <x v="1"/>
  </r>
  <r>
    <s v="B0709"/>
    <s v="Medication_34"/>
    <n v="177"/>
    <d v="2026-11-03T00:00:00"/>
    <n v="46.55"/>
    <x v="229"/>
    <x v="1"/>
  </r>
  <r>
    <s v="B0627"/>
    <s v="Medication_65"/>
    <n v="100"/>
    <d v="2026-11-04T00:00:00"/>
    <n v="1.23"/>
    <x v="230"/>
    <x v="1"/>
  </r>
  <r>
    <s v="B0443"/>
    <s v="Medication_20"/>
    <n v="93"/>
    <d v="2026-11-04T00:00:00"/>
    <n v="6.08"/>
    <x v="231"/>
    <x v="1"/>
  </r>
  <r>
    <s v="B0901"/>
    <s v="Medication_8"/>
    <n v="32"/>
    <d v="2026-11-04T00:00:00"/>
    <n v="13.76"/>
    <x v="232"/>
    <x v="1"/>
  </r>
  <r>
    <s v="B0381"/>
    <s v="Medication_61"/>
    <n v="775"/>
    <d v="2026-11-04T00:00:00"/>
    <n v="27.62"/>
    <x v="233"/>
    <x v="1"/>
  </r>
  <r>
    <s v="B0807"/>
    <s v="Medication_44"/>
    <n v="461"/>
    <d v="2026-11-04T00:00:00"/>
    <n v="22.06"/>
    <x v="234"/>
    <x v="1"/>
  </r>
  <r>
    <s v="B0954"/>
    <s v="Medication_4"/>
    <n v="399"/>
    <d v="2026-11-04T00:00:00"/>
    <n v="17.18"/>
    <x v="235"/>
    <x v="1"/>
  </r>
  <r>
    <s v="B0545"/>
    <s v="Medication_11"/>
    <n v="297"/>
    <d v="2026-11-05T00:00:00"/>
    <n v="33.72"/>
    <x v="236"/>
    <x v="1"/>
  </r>
  <r>
    <s v="B0789"/>
    <s v="Medication_16"/>
    <n v="505"/>
    <d v="2026-11-06T00:00:00"/>
    <n v="25.15"/>
    <x v="237"/>
    <x v="1"/>
  </r>
  <r>
    <s v="B0618"/>
    <s v="Medication_78"/>
    <n v="834"/>
    <d v="2026-11-07T00:00:00"/>
    <n v="45.46"/>
    <x v="238"/>
    <x v="1"/>
  </r>
  <r>
    <s v="B0779"/>
    <s v="Medication_13"/>
    <n v="148"/>
    <d v="2026-11-07T00:00:00"/>
    <n v="16.86"/>
    <x v="239"/>
    <x v="1"/>
  </r>
  <r>
    <s v="B0533"/>
    <s v="Medication_82"/>
    <n v="233"/>
    <d v="2026-11-08T00:00:00"/>
    <n v="49.5"/>
    <x v="240"/>
    <x v="1"/>
  </r>
  <r>
    <s v="B0673"/>
    <s v="Medication_10"/>
    <n v="42"/>
    <d v="2026-11-08T00:00:00"/>
    <n v="34.28"/>
    <x v="241"/>
    <x v="1"/>
  </r>
  <r>
    <s v="B0295"/>
    <s v="Medication_95"/>
    <n v="66"/>
    <d v="2026-11-09T00:00:00"/>
    <n v="15.09"/>
    <x v="242"/>
    <x v="1"/>
  </r>
  <r>
    <s v="B0526"/>
    <s v="Medication_84"/>
    <n v="837"/>
    <d v="2026-11-09T00:00:00"/>
    <n v="34.26"/>
    <x v="243"/>
    <x v="1"/>
  </r>
  <r>
    <s v="B0558"/>
    <s v="Medication_58"/>
    <n v="334"/>
    <d v="2026-11-09T00:00:00"/>
    <n v="31.68"/>
    <x v="244"/>
    <x v="1"/>
  </r>
  <r>
    <s v="B0577"/>
    <s v="Medication_85"/>
    <n v="311"/>
    <d v="2026-11-09T00:00:00"/>
    <n v="44.95"/>
    <x v="245"/>
    <x v="1"/>
  </r>
  <r>
    <s v="B0815"/>
    <s v="Medication_12"/>
    <n v="90"/>
    <d v="2026-11-09T00:00:00"/>
    <n v="37.31"/>
    <x v="246"/>
    <x v="1"/>
  </r>
  <r>
    <s v="B0384"/>
    <s v="Medication_36"/>
    <n v="478"/>
    <d v="2026-11-09T00:00:00"/>
    <n v="48.08"/>
    <x v="247"/>
    <x v="1"/>
  </r>
  <r>
    <s v="B0325"/>
    <s v="Medication_37"/>
    <n v="40"/>
    <d v="2026-11-10T00:00:00"/>
    <n v="34.42"/>
    <x v="248"/>
    <x v="1"/>
  </r>
  <r>
    <s v="B0536"/>
    <s v="Medication_49"/>
    <n v="304"/>
    <d v="2026-11-10T00:00:00"/>
    <n v="38.630000000000003"/>
    <x v="249"/>
    <x v="1"/>
  </r>
  <r>
    <s v="B0661"/>
    <s v="Medication_57"/>
    <n v="65"/>
    <d v="2026-11-10T00:00:00"/>
    <n v="48.75"/>
    <x v="250"/>
    <x v="1"/>
  </r>
  <r>
    <s v="B0218"/>
    <s v="Medication_26"/>
    <n v="297"/>
    <d v="2026-11-10T00:00:00"/>
    <n v="24.53"/>
    <x v="251"/>
    <x v="1"/>
  </r>
  <r>
    <s v="B0733"/>
    <s v="Medication_25"/>
    <n v="624"/>
    <d v="2026-11-11T00:00:00"/>
    <n v="45.88"/>
    <x v="252"/>
    <x v="1"/>
  </r>
  <r>
    <s v="B0780"/>
    <s v="Medication_61"/>
    <n v="146"/>
    <d v="2026-11-11T00:00:00"/>
    <n v="27.62"/>
    <x v="253"/>
    <x v="1"/>
  </r>
  <r>
    <s v="B0742"/>
    <s v="Medication_50"/>
    <n v="91"/>
    <d v="2026-11-11T00:00:00"/>
    <n v="2.81"/>
    <x v="254"/>
    <x v="1"/>
  </r>
  <r>
    <s v="B0896"/>
    <s v="Medication_58"/>
    <n v="321"/>
    <d v="2026-11-11T00:00:00"/>
    <n v="31.68"/>
    <x v="255"/>
    <x v="1"/>
  </r>
  <r>
    <s v="B0636"/>
    <s v="Medication_24"/>
    <n v="342"/>
    <d v="2026-11-11T00:00:00"/>
    <n v="18"/>
    <x v="256"/>
    <x v="1"/>
  </r>
  <r>
    <s v="B0308"/>
    <s v="Medication_49"/>
    <n v="113"/>
    <d v="2026-11-11T00:00:00"/>
    <n v="38.630000000000003"/>
    <x v="257"/>
    <x v="1"/>
  </r>
  <r>
    <s v="B0355"/>
    <s v="Medication_41"/>
    <n v="48"/>
    <d v="2026-11-12T00:00:00"/>
    <n v="30.88"/>
    <x v="76"/>
    <x v="1"/>
  </r>
  <r>
    <s v="B0420"/>
    <s v="Medication_89"/>
    <n v="93"/>
    <d v="2026-11-12T00:00:00"/>
    <n v="9.27"/>
    <x v="258"/>
    <x v="1"/>
  </r>
  <r>
    <s v="B0160"/>
    <s v="Medication_36"/>
    <n v="937"/>
    <d v="2026-11-12T00:00:00"/>
    <n v="48.08"/>
    <x v="259"/>
    <x v="1"/>
  </r>
  <r>
    <s v="B0739"/>
    <s v="Medication_32"/>
    <n v="608"/>
    <d v="2026-11-12T00:00:00"/>
    <n v="24.04"/>
    <x v="260"/>
    <x v="1"/>
  </r>
  <r>
    <s v="B0831"/>
    <s v="Medication_5"/>
    <n v="18"/>
    <d v="2026-11-13T00:00:00"/>
    <n v="34.36"/>
    <x v="261"/>
    <x v="1"/>
  </r>
  <r>
    <s v="B0437"/>
    <s v="Medication_12"/>
    <n v="158"/>
    <d v="2026-11-13T00:00:00"/>
    <n v="37.31"/>
    <x v="262"/>
    <x v="1"/>
  </r>
  <r>
    <s v="B0681"/>
    <s v="Medication_13"/>
    <n v="8"/>
    <d v="2026-11-14T00:00:00"/>
    <n v="16.86"/>
    <x v="263"/>
    <x v="1"/>
  </r>
  <r>
    <s v="B0031"/>
    <s v="Medication_5"/>
    <n v="488"/>
    <d v="2026-11-14T00:00:00"/>
    <n v="34.36"/>
    <x v="264"/>
    <x v="1"/>
  </r>
  <r>
    <s v="B0825"/>
    <s v="Medication_71"/>
    <n v="69"/>
    <d v="2026-11-14T00:00:00"/>
    <n v="3.69"/>
    <x v="265"/>
    <x v="1"/>
  </r>
  <r>
    <s v="B0921"/>
    <s v="Medication_54"/>
    <n v="2"/>
    <d v="2026-11-14T00:00:00"/>
    <n v="2.4700000000000002"/>
    <x v="266"/>
    <x v="1"/>
  </r>
  <r>
    <s v="B0568"/>
    <s v="Medication_46"/>
    <n v="546"/>
    <d v="2026-11-15T00:00:00"/>
    <n v="38.65"/>
    <x v="267"/>
    <x v="1"/>
  </r>
  <r>
    <s v="B0367"/>
    <s v="Medication_10"/>
    <n v="720"/>
    <d v="2026-11-15T00:00:00"/>
    <n v="34.28"/>
    <x v="268"/>
    <x v="1"/>
  </r>
  <r>
    <s v="B0639"/>
    <s v="Medication_23"/>
    <n v="125"/>
    <d v="2026-11-15T00:00:00"/>
    <n v="33.68"/>
    <x v="269"/>
    <x v="1"/>
  </r>
  <r>
    <s v="B0098"/>
    <s v="Medication_39"/>
    <n v="333"/>
    <d v="2026-11-15T00:00:00"/>
    <n v="45.6"/>
    <x v="270"/>
    <x v="1"/>
  </r>
  <r>
    <s v="B0201"/>
    <s v="Medication_9"/>
    <n v="62"/>
    <d v="2026-11-15T00:00:00"/>
    <n v="11.57"/>
    <x v="271"/>
    <x v="1"/>
  </r>
  <r>
    <s v="B0321"/>
    <s v="Medication_71"/>
    <n v="48"/>
    <d v="2026-11-16T00:00:00"/>
    <n v="3.69"/>
    <x v="272"/>
    <x v="1"/>
  </r>
  <r>
    <s v="B0949"/>
    <s v="Medication_97"/>
    <n v="76"/>
    <d v="2026-11-16T00:00:00"/>
    <n v="34.76"/>
    <x v="273"/>
    <x v="1"/>
  </r>
  <r>
    <s v="B0494"/>
    <s v="Medication_31"/>
    <n v="55"/>
    <d v="2026-11-16T00:00:00"/>
    <n v="46.81"/>
    <x v="274"/>
    <x v="1"/>
  </r>
  <r>
    <s v="B0997"/>
    <s v="Medication_45"/>
    <n v="115"/>
    <d v="2026-11-16T00:00:00"/>
    <n v="3.18"/>
    <x v="275"/>
    <x v="1"/>
  </r>
  <r>
    <s v="B0077"/>
    <s v="Medication_38"/>
    <n v="15"/>
    <d v="2026-11-17T00:00:00"/>
    <n v="30.26"/>
    <x v="276"/>
    <x v="1"/>
  </r>
  <r>
    <s v="B0843"/>
    <s v="Medication_39"/>
    <n v="73"/>
    <d v="2026-11-17T00:00:00"/>
    <n v="45.6"/>
    <x v="277"/>
    <x v="1"/>
  </r>
  <r>
    <s v="B0726"/>
    <s v="Medication_17"/>
    <n v="62"/>
    <d v="2026-11-17T00:00:00"/>
    <n v="19.72"/>
    <x v="127"/>
    <x v="1"/>
  </r>
  <r>
    <s v="B0221"/>
    <s v="Medication_61"/>
    <n v="481"/>
    <d v="2026-11-18T00:00:00"/>
    <n v="27.62"/>
    <x v="278"/>
    <x v="1"/>
  </r>
  <r>
    <s v="B0783"/>
    <s v="Medication_74"/>
    <n v="644"/>
    <d v="2026-11-18T00:00:00"/>
    <n v="16.3"/>
    <x v="279"/>
    <x v="1"/>
  </r>
  <r>
    <s v="B0564"/>
    <s v="Medication_61"/>
    <n v="259"/>
    <d v="2026-11-18T00:00:00"/>
    <n v="27.62"/>
    <x v="280"/>
    <x v="1"/>
  </r>
  <r>
    <s v="B0069"/>
    <s v="Medication_30"/>
    <n v="165"/>
    <d v="2026-11-20T00:00:00"/>
    <n v="15.43"/>
    <x v="281"/>
    <x v="1"/>
  </r>
  <r>
    <s v="B0029"/>
    <s v="Medication_81"/>
    <n v="296"/>
    <d v="2026-11-21T00:00:00"/>
    <n v="5.28"/>
    <x v="282"/>
    <x v="1"/>
  </r>
  <r>
    <s v="B0933"/>
    <s v="Medication_58"/>
    <n v="748"/>
    <d v="2026-11-21T00:00:00"/>
    <n v="31.68"/>
    <x v="283"/>
    <x v="1"/>
  </r>
  <r>
    <s v="B0557"/>
    <s v="Medication_27"/>
    <n v="37"/>
    <d v="2026-11-22T00:00:00"/>
    <n v="3.74"/>
    <x v="284"/>
    <x v="1"/>
  </r>
  <r>
    <s v="B0947"/>
    <s v="Medication_4"/>
    <n v="250"/>
    <d v="2026-11-22T00:00:00"/>
    <n v="17.18"/>
    <x v="285"/>
    <x v="1"/>
  </r>
  <r>
    <s v="B0778"/>
    <s v="Medication_100"/>
    <n v="144"/>
    <d v="2026-11-22T00:00:00"/>
    <n v="28.16"/>
    <x v="286"/>
    <x v="1"/>
  </r>
  <r>
    <s v="B0440"/>
    <s v="Medication_55"/>
    <n v="753"/>
    <d v="2026-11-22T00:00:00"/>
    <n v="24.65"/>
    <x v="287"/>
    <x v="1"/>
  </r>
  <r>
    <s v="B0686"/>
    <s v="Medication_27"/>
    <n v="13"/>
    <d v="2026-11-22T00:00:00"/>
    <n v="3.74"/>
    <x v="288"/>
    <x v="1"/>
  </r>
  <r>
    <s v="B0642"/>
    <s v="Medication_97"/>
    <n v="728"/>
    <d v="2026-11-22T00:00:00"/>
    <n v="34.76"/>
    <x v="289"/>
    <x v="1"/>
  </r>
  <r>
    <s v="B0844"/>
    <s v="Medication_75"/>
    <n v="49"/>
    <d v="2026-11-23T00:00:00"/>
    <n v="8.5399999999999991"/>
    <x v="290"/>
    <x v="1"/>
  </r>
  <r>
    <s v="B0113"/>
    <s v="Medication_53"/>
    <n v="128"/>
    <d v="2026-11-23T00:00:00"/>
    <n v="48.7"/>
    <x v="291"/>
    <x v="1"/>
  </r>
  <r>
    <s v="B0115"/>
    <s v="Medication_30"/>
    <n v="132"/>
    <d v="2026-11-23T00:00:00"/>
    <n v="15.43"/>
    <x v="292"/>
    <x v="1"/>
  </r>
  <r>
    <s v="B0254"/>
    <s v="Medication_86"/>
    <n v="223"/>
    <d v="2026-11-23T00:00:00"/>
    <n v="49.91"/>
    <x v="293"/>
    <x v="1"/>
  </r>
  <r>
    <s v="B0810"/>
    <s v="Medication_30"/>
    <n v="669"/>
    <d v="2026-11-24T00:00:00"/>
    <n v="15.43"/>
    <x v="294"/>
    <x v="1"/>
  </r>
  <r>
    <s v="B0535"/>
    <s v="Medication_44"/>
    <n v="314"/>
    <d v="2026-11-24T00:00:00"/>
    <n v="22.06"/>
    <x v="295"/>
    <x v="1"/>
  </r>
  <r>
    <s v="B0939"/>
    <s v="Medication_57"/>
    <n v="608"/>
    <d v="2026-11-24T00:00:00"/>
    <n v="48.75"/>
    <x v="296"/>
    <x v="1"/>
  </r>
  <r>
    <s v="B0787"/>
    <s v="Medication_12"/>
    <n v="440"/>
    <d v="2026-11-24T00:00:00"/>
    <n v="37.31"/>
    <x v="297"/>
    <x v="1"/>
  </r>
  <r>
    <s v="B0918"/>
    <s v="Medication_13"/>
    <n v="75"/>
    <d v="2026-11-24T00:00:00"/>
    <n v="16.86"/>
    <x v="298"/>
    <x v="1"/>
  </r>
  <r>
    <s v="B0880"/>
    <s v="Medication_89"/>
    <n v="416"/>
    <d v="2026-11-24T00:00:00"/>
    <n v="9.27"/>
    <x v="299"/>
    <x v="1"/>
  </r>
  <r>
    <s v="B0626"/>
    <s v="Medication_100"/>
    <n v="100"/>
    <d v="2026-11-25T00:00:00"/>
    <n v="28.16"/>
    <x v="300"/>
    <x v="1"/>
  </r>
  <r>
    <s v="B0383"/>
    <s v="Medication_69"/>
    <n v="270"/>
    <d v="2026-11-25T00:00:00"/>
    <n v="6.77"/>
    <x v="301"/>
    <x v="1"/>
  </r>
  <r>
    <s v="B0182"/>
    <s v="Medication_18"/>
    <n v="936"/>
    <d v="2026-11-25T00:00:00"/>
    <n v="23.12"/>
    <x v="302"/>
    <x v="1"/>
  </r>
  <r>
    <s v="B0928"/>
    <s v="Medication_69"/>
    <n v="667"/>
    <d v="2026-11-25T00:00:00"/>
    <n v="6.77"/>
    <x v="303"/>
    <x v="1"/>
  </r>
  <r>
    <s v="B0137"/>
    <s v="Medication_31"/>
    <n v="264"/>
    <d v="2026-11-25T00:00:00"/>
    <n v="46.81"/>
    <x v="304"/>
    <x v="1"/>
  </r>
  <r>
    <s v="B0868"/>
    <s v="Medication_95"/>
    <n v="262"/>
    <d v="2026-11-25T00:00:00"/>
    <n v="15.09"/>
    <x v="305"/>
    <x v="1"/>
  </r>
  <r>
    <s v="B0230"/>
    <s v="Medication_58"/>
    <n v="9"/>
    <d v="2026-11-26T00:00:00"/>
    <n v="31.68"/>
    <x v="306"/>
    <x v="1"/>
  </r>
  <r>
    <s v="B0729"/>
    <s v="Medication_76"/>
    <n v="47"/>
    <d v="2026-11-26T00:00:00"/>
    <n v="17.03"/>
    <x v="307"/>
    <x v="1"/>
  </r>
  <r>
    <s v="B0622"/>
    <s v="Medication_97"/>
    <n v="16"/>
    <d v="2026-11-27T00:00:00"/>
    <n v="34.76"/>
    <x v="308"/>
    <x v="1"/>
  </r>
  <r>
    <s v="B0187"/>
    <s v="Medication_97"/>
    <n v="154"/>
    <d v="2026-11-27T00:00:00"/>
    <n v="34.76"/>
    <x v="113"/>
    <x v="1"/>
  </r>
  <r>
    <s v="B0670"/>
    <s v="Medication_94"/>
    <n v="231"/>
    <d v="2026-11-28T00:00:00"/>
    <n v="49.21"/>
    <x v="309"/>
    <x v="1"/>
  </r>
  <r>
    <s v="B0554"/>
    <s v="Medication_32"/>
    <n v="227"/>
    <d v="2026-11-28T00:00:00"/>
    <n v="24.04"/>
    <x v="310"/>
    <x v="1"/>
  </r>
  <r>
    <s v="B0853"/>
    <s v="Medication_41"/>
    <n v="388"/>
    <d v="2026-11-29T00:00:00"/>
    <n v="30.88"/>
    <x v="311"/>
    <x v="1"/>
  </r>
  <r>
    <s v="B0070"/>
    <s v="Medication_57"/>
    <n v="357"/>
    <d v="2026-11-29T00:00:00"/>
    <n v="48.75"/>
    <x v="312"/>
    <x v="1"/>
  </r>
  <r>
    <s v="B0525"/>
    <s v="Medication_87"/>
    <n v="14"/>
    <d v="2026-11-29T00:00:00"/>
    <n v="47.57"/>
    <x v="313"/>
    <x v="1"/>
  </r>
  <r>
    <s v="B0021"/>
    <s v="Medication_46"/>
    <n v="165"/>
    <d v="2026-11-29T00:00:00"/>
    <n v="38.65"/>
    <x v="314"/>
    <x v="1"/>
  </r>
  <r>
    <s v="B0517"/>
    <s v="Medication_2"/>
    <n v="580"/>
    <d v="2026-11-29T00:00:00"/>
    <n v="1.94"/>
    <x v="315"/>
    <x v="1"/>
  </r>
  <r>
    <s v="B0463"/>
    <s v="Medication_72"/>
    <n v="308"/>
    <d v="2026-11-29T00:00:00"/>
    <n v="42.2"/>
    <x v="316"/>
    <x v="1"/>
  </r>
  <r>
    <s v="B0833"/>
    <s v="Medication_77"/>
    <n v="100"/>
    <d v="2026-11-29T00:00:00"/>
    <n v="28.86"/>
    <x v="317"/>
    <x v="1"/>
  </r>
  <r>
    <s v="B0651"/>
    <s v="Medication_53"/>
    <n v="262"/>
    <d v="2026-11-30T00:00:00"/>
    <n v="48.7"/>
    <x v="318"/>
    <x v="1"/>
  </r>
  <r>
    <s v="B0263"/>
    <s v="Medication_93"/>
    <n v="470"/>
    <d v="2026-11-30T00:00:00"/>
    <n v="41.12"/>
    <x v="319"/>
    <x v="1"/>
  </r>
  <r>
    <s v="B0872"/>
    <s v="Medication_53"/>
    <n v="171"/>
    <d v="2026-11-30T00:00:00"/>
    <n v="48.7"/>
    <x v="320"/>
    <x v="1"/>
  </r>
  <r>
    <s v="B0349"/>
    <s v="Medication_62"/>
    <n v="63"/>
    <d v="2026-11-30T00:00:00"/>
    <n v="36.47"/>
    <x v="321"/>
    <x v="1"/>
  </r>
  <r>
    <s v="B0502"/>
    <s v="Medication_21"/>
    <n v="35"/>
    <d v="2026-12-01T00:00:00"/>
    <n v="41.82"/>
    <x v="322"/>
    <x v="1"/>
  </r>
  <r>
    <s v="B0057"/>
    <s v="Medication_88"/>
    <n v="47"/>
    <d v="2026-12-01T00:00:00"/>
    <n v="29.25"/>
    <x v="323"/>
    <x v="1"/>
  </r>
  <r>
    <s v="B0401"/>
    <s v="Medication_67"/>
    <n v="140"/>
    <d v="2026-12-01T00:00:00"/>
    <n v="9.83"/>
    <x v="324"/>
    <x v="1"/>
  </r>
  <r>
    <s v="B0003"/>
    <s v="Medication_40"/>
    <n v="298"/>
    <d v="2026-12-02T00:00:00"/>
    <n v="16.739999999999998"/>
    <x v="325"/>
    <x v="1"/>
  </r>
  <r>
    <s v="B0927"/>
    <s v="Medication_92"/>
    <n v="12"/>
    <d v="2026-12-02T00:00:00"/>
    <n v="36.979999999999997"/>
    <x v="326"/>
    <x v="1"/>
  </r>
  <r>
    <s v="B0459"/>
    <s v="Medication_52"/>
    <n v="557"/>
    <d v="2026-12-03T00:00:00"/>
    <n v="45.95"/>
    <x v="327"/>
    <x v="1"/>
  </r>
  <r>
    <s v="B0994"/>
    <s v="Medication_26"/>
    <n v="633"/>
    <d v="2026-12-03T00:00:00"/>
    <n v="24.53"/>
    <x v="328"/>
    <x v="1"/>
  </r>
  <r>
    <s v="B0036"/>
    <s v="Medication_19"/>
    <n v="825"/>
    <d v="2026-12-03T00:00:00"/>
    <n v="35.72"/>
    <x v="329"/>
    <x v="1"/>
  </r>
  <r>
    <s v="B0601"/>
    <s v="Medication_24"/>
    <n v="573"/>
    <d v="2026-12-04T00:00:00"/>
    <n v="18"/>
    <x v="330"/>
    <x v="1"/>
  </r>
  <r>
    <s v="B0689"/>
    <s v="Medication_47"/>
    <n v="35"/>
    <d v="2026-12-05T00:00:00"/>
    <n v="29.93"/>
    <x v="331"/>
    <x v="1"/>
  </r>
  <r>
    <s v="B0913"/>
    <s v="Medication_39"/>
    <n v="83"/>
    <d v="2026-12-05T00:00:00"/>
    <n v="45.6"/>
    <x v="332"/>
    <x v="1"/>
  </r>
  <r>
    <s v="B0181"/>
    <s v="Medication_30"/>
    <n v="100"/>
    <d v="2026-12-05T00:00:00"/>
    <n v="15.43"/>
    <x v="333"/>
    <x v="1"/>
  </r>
  <r>
    <s v="B0438"/>
    <s v="Medication_67"/>
    <n v="136"/>
    <d v="2026-12-06T00:00:00"/>
    <n v="9.83"/>
    <x v="334"/>
    <x v="1"/>
  </r>
  <r>
    <s v="B0503"/>
    <s v="Medication_98"/>
    <n v="137"/>
    <d v="2026-12-06T00:00:00"/>
    <n v="19.579999999999998"/>
    <x v="335"/>
    <x v="1"/>
  </r>
  <r>
    <s v="B0213"/>
    <s v="Medication_3"/>
    <n v="136"/>
    <d v="2026-12-06T00:00:00"/>
    <n v="37.15"/>
    <x v="336"/>
    <x v="1"/>
  </r>
  <r>
    <s v="B0676"/>
    <s v="Medication_16"/>
    <n v="183"/>
    <d v="2026-12-07T00:00:00"/>
    <n v="25.15"/>
    <x v="337"/>
    <x v="1"/>
  </r>
  <r>
    <s v="B0846"/>
    <s v="Medication_93"/>
    <n v="16"/>
    <d v="2026-12-07T00:00:00"/>
    <n v="41.12"/>
    <x v="338"/>
    <x v="1"/>
  </r>
  <r>
    <s v="B0315"/>
    <s v="Medication_5"/>
    <n v="25"/>
    <d v="2026-12-07T00:00:00"/>
    <n v="34.36"/>
    <x v="339"/>
    <x v="1"/>
  </r>
  <r>
    <s v="B0671"/>
    <s v="Medication_31"/>
    <n v="141"/>
    <d v="2026-12-07T00:00:00"/>
    <n v="46.81"/>
    <x v="340"/>
    <x v="1"/>
  </r>
  <r>
    <s v="B0684"/>
    <s v="Medication_37"/>
    <n v="15"/>
    <d v="2026-12-07T00:00:00"/>
    <n v="34.42"/>
    <x v="341"/>
    <x v="1"/>
  </r>
  <r>
    <s v="B0418"/>
    <s v="Medication_78"/>
    <n v="193"/>
    <d v="2026-12-07T00:00:00"/>
    <n v="45.46"/>
    <x v="342"/>
    <x v="1"/>
  </r>
  <r>
    <s v="B0154"/>
    <s v="Medication_87"/>
    <n v="602"/>
    <d v="2026-12-08T00:00:00"/>
    <n v="47.57"/>
    <x v="343"/>
    <x v="1"/>
  </r>
  <r>
    <s v="B0410"/>
    <s v="Medication_17"/>
    <n v="202"/>
    <d v="2026-12-08T00:00:00"/>
    <n v="19.72"/>
    <x v="344"/>
    <x v="1"/>
  </r>
  <r>
    <s v="B0018"/>
    <s v="Medication_39"/>
    <n v="132"/>
    <d v="2026-12-08T00:00:00"/>
    <n v="45.6"/>
    <x v="345"/>
    <x v="1"/>
  </r>
  <r>
    <s v="B0220"/>
    <s v="Medication_75"/>
    <n v="354"/>
    <d v="2026-12-08T00:00:00"/>
    <n v="8.5399999999999991"/>
    <x v="346"/>
    <x v="1"/>
  </r>
  <r>
    <s v="B0769"/>
    <s v="Medication_41"/>
    <n v="158"/>
    <d v="2026-12-09T00:00:00"/>
    <n v="30.88"/>
    <x v="347"/>
    <x v="1"/>
  </r>
  <r>
    <s v="B0785"/>
    <s v="Medication_17"/>
    <n v="274"/>
    <d v="2026-12-10T00:00:00"/>
    <n v="19.72"/>
    <x v="348"/>
    <x v="1"/>
  </r>
  <r>
    <s v="B0139"/>
    <s v="Medication_58"/>
    <n v="629"/>
    <d v="2026-12-10T00:00:00"/>
    <n v="31.68"/>
    <x v="349"/>
    <x v="1"/>
  </r>
  <r>
    <s v="B0943"/>
    <s v="Medication_2"/>
    <n v="239"/>
    <d v="2026-12-10T00:00:00"/>
    <n v="1.94"/>
    <x v="350"/>
    <x v="1"/>
  </r>
  <r>
    <s v="B0393"/>
    <s v="Medication_88"/>
    <n v="335"/>
    <d v="2026-12-10T00:00:00"/>
    <n v="29.25"/>
    <x v="351"/>
    <x v="1"/>
  </r>
  <r>
    <s v="B0849"/>
    <s v="Medication_73"/>
    <n v="205"/>
    <d v="2026-12-11T00:00:00"/>
    <n v="7.51"/>
    <x v="352"/>
    <x v="1"/>
  </r>
  <r>
    <s v="B0212"/>
    <s v="Medication_7"/>
    <n v="661"/>
    <d v="2026-12-11T00:00:00"/>
    <n v="19.18"/>
    <x v="353"/>
    <x v="1"/>
  </r>
  <r>
    <s v="B0471"/>
    <s v="Medication_51"/>
    <n v="178"/>
    <d v="2026-12-11T00:00:00"/>
    <n v="43.52"/>
    <x v="354"/>
    <x v="1"/>
  </r>
  <r>
    <s v="B0239"/>
    <s v="Medication_37"/>
    <n v="254"/>
    <d v="2026-12-12T00:00:00"/>
    <n v="34.42"/>
    <x v="355"/>
    <x v="1"/>
  </r>
  <r>
    <s v="B0621"/>
    <s v="Medication_91"/>
    <n v="288"/>
    <d v="2026-12-13T00:00:00"/>
    <n v="23.36"/>
    <x v="356"/>
    <x v="1"/>
  </r>
  <r>
    <s v="B0566"/>
    <s v="Medication_85"/>
    <n v="162"/>
    <d v="2026-12-14T00:00:00"/>
    <n v="44.95"/>
    <x v="357"/>
    <x v="1"/>
  </r>
  <r>
    <s v="B0394"/>
    <s v="Medication_58"/>
    <n v="478"/>
    <d v="2026-12-14T00:00:00"/>
    <n v="31.68"/>
    <x v="358"/>
    <x v="1"/>
  </r>
  <r>
    <s v="B0753"/>
    <s v="Medication_86"/>
    <n v="472"/>
    <d v="2026-12-15T00:00:00"/>
    <n v="49.91"/>
    <x v="359"/>
    <x v="1"/>
  </r>
  <r>
    <s v="B0302"/>
    <s v="Medication_31"/>
    <n v="494"/>
    <d v="2026-12-15T00:00:00"/>
    <n v="46.81"/>
    <x v="360"/>
    <x v="1"/>
  </r>
  <r>
    <s v="B0588"/>
    <s v="Medication_97"/>
    <n v="28"/>
    <d v="2026-12-15T00:00:00"/>
    <n v="34.76"/>
    <x v="361"/>
    <x v="1"/>
  </r>
  <r>
    <s v="B0376"/>
    <s v="Medication_97"/>
    <n v="106"/>
    <d v="2026-12-15T00:00:00"/>
    <n v="34.76"/>
    <x v="362"/>
    <x v="1"/>
  </r>
  <r>
    <s v="B0571"/>
    <s v="Medication_10"/>
    <n v="70"/>
    <d v="2026-12-15T00:00:00"/>
    <n v="34.28"/>
    <x v="363"/>
    <x v="1"/>
  </r>
  <r>
    <s v="B0305"/>
    <s v="Medication_16"/>
    <n v="377"/>
    <d v="2026-12-16T00:00:00"/>
    <n v="25.15"/>
    <x v="364"/>
    <x v="1"/>
  </r>
  <r>
    <s v="B0294"/>
    <s v="Medication_86"/>
    <n v="262"/>
    <d v="2026-12-16T00:00:00"/>
    <n v="49.91"/>
    <x v="365"/>
    <x v="1"/>
  </r>
  <r>
    <s v="B0953"/>
    <s v="Medication_32"/>
    <n v="37"/>
    <d v="2026-12-16T00:00:00"/>
    <n v="24.04"/>
    <x v="366"/>
    <x v="1"/>
  </r>
  <r>
    <s v="B0107"/>
    <s v="Medication_25"/>
    <n v="132"/>
    <d v="2026-12-16T00:00:00"/>
    <n v="45.88"/>
    <x v="367"/>
    <x v="1"/>
  </r>
  <r>
    <s v="B0261"/>
    <s v="Medication_47"/>
    <n v="742"/>
    <d v="2026-12-17T00:00:00"/>
    <n v="29.93"/>
    <x v="368"/>
    <x v="1"/>
  </r>
  <r>
    <s v="B0448"/>
    <s v="Medication_32"/>
    <n v="165"/>
    <d v="2026-12-17T00:00:00"/>
    <n v="24.04"/>
    <x v="369"/>
    <x v="1"/>
  </r>
  <r>
    <s v="B0358"/>
    <s v="Medication_39"/>
    <n v="176"/>
    <d v="2026-12-17T00:00:00"/>
    <n v="45.6"/>
    <x v="370"/>
    <x v="1"/>
  </r>
  <r>
    <s v="B0174"/>
    <s v="Medication_87"/>
    <n v="160"/>
    <d v="2026-12-17T00:00:00"/>
    <n v="47.57"/>
    <x v="371"/>
    <x v="1"/>
  </r>
  <r>
    <s v="B0371"/>
    <s v="Medication_58"/>
    <n v="260"/>
    <d v="2026-12-18T00:00:00"/>
    <n v="31.68"/>
    <x v="372"/>
    <x v="1"/>
  </r>
  <r>
    <s v="B0937"/>
    <s v="Medication_75"/>
    <n v="382"/>
    <d v="2026-12-18T00:00:00"/>
    <n v="8.5399999999999991"/>
    <x v="373"/>
    <x v="1"/>
  </r>
  <r>
    <s v="B0436"/>
    <s v="Medication_81"/>
    <n v="78"/>
    <d v="2026-12-18T00:00:00"/>
    <n v="5.28"/>
    <x v="374"/>
    <x v="1"/>
  </r>
  <r>
    <s v="B0667"/>
    <s v="Medication_2"/>
    <n v="500"/>
    <d v="2026-12-19T00:00:00"/>
    <n v="1.94"/>
    <x v="375"/>
    <x v="1"/>
  </r>
  <r>
    <s v="B0946"/>
    <s v="Medication_88"/>
    <n v="365"/>
    <d v="2026-12-19T00:00:00"/>
    <n v="29.25"/>
    <x v="376"/>
    <x v="1"/>
  </r>
  <r>
    <s v="B0874"/>
    <s v="Medication_20"/>
    <n v="211"/>
    <d v="2026-12-19T00:00:00"/>
    <n v="6.08"/>
    <x v="377"/>
    <x v="1"/>
  </r>
  <r>
    <s v="B0924"/>
    <s v="Medication_2"/>
    <n v="327"/>
    <d v="2026-12-19T00:00:00"/>
    <n v="1.94"/>
    <x v="378"/>
    <x v="1"/>
  </r>
  <r>
    <s v="B0484"/>
    <s v="Medication_26"/>
    <n v="507"/>
    <d v="2026-12-20T00:00:00"/>
    <n v="24.53"/>
    <x v="379"/>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3">
  <r>
    <x v="0"/>
    <s v="Emergency Dept Storage"/>
    <n v="214"/>
    <n v="357"/>
    <n v="0.59943977591036413"/>
  </r>
  <r>
    <x v="1"/>
    <s v="South Wing Pharmacy"/>
    <n v="213"/>
    <n v="5"/>
    <n v="42.6"/>
  </r>
  <r>
    <x v="2"/>
    <s v="North Wing Pharmacy"/>
    <n v="198"/>
    <n v="103"/>
    <n v="1.9223300970873787"/>
  </r>
  <r>
    <x v="3"/>
    <s v="North Wing Pharmacy"/>
    <n v="180"/>
    <n v="307"/>
    <n v="0.58631921824104238"/>
  </r>
  <r>
    <x v="4"/>
    <s v="Main Warehouse"/>
    <n v="171"/>
    <n v="56"/>
    <n v="3.0535714285714284"/>
  </r>
  <r>
    <x v="5"/>
    <s v="Outpatient Clinic"/>
    <n v="162"/>
    <n v="488"/>
    <n v="0.33196721311475408"/>
  </r>
  <r>
    <x v="6"/>
    <s v="Emergency Dept Storage"/>
    <n v="156"/>
    <n v="541"/>
    <n v="0.28835489833641403"/>
  </r>
  <r>
    <x v="7"/>
    <s v="South Wing Pharmacy"/>
    <n v="152"/>
    <n v="2"/>
    <n v="76"/>
  </r>
  <r>
    <x v="8"/>
    <s v="Main Warehouse"/>
    <n v="151"/>
    <n v="648"/>
    <n v="0.2330246913580247"/>
  </r>
  <r>
    <x v="9"/>
    <s v="Outpatient Clinic"/>
    <n v="151"/>
    <n v="889"/>
    <n v="0.16985376827896512"/>
  </r>
  <r>
    <x v="10"/>
    <s v="Emergency Dept Storage"/>
    <n v="147"/>
    <n v="232"/>
    <n v="0.63362068965517238"/>
  </r>
  <r>
    <x v="11"/>
    <s v="Main Warehouse"/>
    <n v="144"/>
    <n v="349"/>
    <n v="0.41260744985673353"/>
  </r>
  <r>
    <x v="12"/>
    <s v="Emergency Dept Storage"/>
    <n v="142"/>
    <n v="141"/>
    <n v="1.0070921985815604"/>
  </r>
  <r>
    <x v="13"/>
    <s v="South Wing Pharmacy"/>
    <n v="138"/>
    <n v="548"/>
    <n v="0.2518248175182482"/>
  </r>
  <r>
    <x v="8"/>
    <s v="Outpatient Clinic"/>
    <n v="136"/>
    <n v="3"/>
    <n v="45.333333333333336"/>
  </r>
  <r>
    <x v="14"/>
    <s v="Emergency Dept Storage"/>
    <n v="132"/>
    <n v="519"/>
    <n v="0.25433526011560692"/>
  </r>
  <r>
    <x v="15"/>
    <s v="Emergency Dept Storage"/>
    <n v="132"/>
    <n v="53"/>
    <n v="2.4905660377358489"/>
  </r>
  <r>
    <x v="16"/>
    <s v="Main Warehouse"/>
    <n v="130"/>
    <n v="103"/>
    <n v="1.2621359223300972"/>
  </r>
  <r>
    <x v="17"/>
    <s v="South Wing Pharmacy"/>
    <n v="130"/>
    <n v="8"/>
    <n v="16.25"/>
  </r>
  <r>
    <x v="18"/>
    <s v="Emergency Dept Storage"/>
    <n v="129"/>
    <n v="361"/>
    <n v="0.35734072022160662"/>
  </r>
  <r>
    <x v="19"/>
    <s v="Main Warehouse"/>
    <n v="126"/>
    <n v="608"/>
    <n v="0.20723684210526316"/>
  </r>
  <r>
    <x v="20"/>
    <s v="Main Warehouse"/>
    <n v="126"/>
    <n v="254"/>
    <n v="0.49606299212598426"/>
  </r>
  <r>
    <x v="21"/>
    <s v="South Wing Pharmacy"/>
    <n v="126"/>
    <n v="320"/>
    <n v="0.39374999999999999"/>
  </r>
  <r>
    <x v="22"/>
    <s v="Emergency Dept Storage"/>
    <n v="125"/>
    <n v="914"/>
    <n v="0.13676148796498905"/>
  </r>
  <r>
    <x v="23"/>
    <s v="Emergency Dept Storage"/>
    <n v="124"/>
    <n v="100"/>
    <n v="1.24"/>
  </r>
  <r>
    <x v="16"/>
    <s v="South Wing Pharmacy"/>
    <n v="124"/>
    <n v="153"/>
    <n v="0.81045751633986929"/>
  </r>
  <r>
    <x v="24"/>
    <s v="Emergency Dept Storage"/>
    <n v="124"/>
    <n v="259"/>
    <n v="0.47876447876447875"/>
  </r>
  <r>
    <x v="25"/>
    <s v="South Wing Pharmacy"/>
    <n v="123"/>
    <n v="111"/>
    <n v="1.1081081081081081"/>
  </r>
  <r>
    <x v="26"/>
    <s v="Outpatient Clinic"/>
    <n v="121"/>
    <n v="783"/>
    <n v="0.15453384418901661"/>
  </r>
  <r>
    <x v="27"/>
    <s v="Main Warehouse"/>
    <n v="120"/>
    <n v="469"/>
    <n v="0.25586353944562901"/>
  </r>
  <r>
    <x v="28"/>
    <s v="South Wing Pharmacy"/>
    <n v="119"/>
    <n v="228"/>
    <n v="0.52192982456140347"/>
  </r>
  <r>
    <x v="29"/>
    <s v="Outpatient Clinic"/>
    <n v="118"/>
    <n v="658"/>
    <n v="0.17933130699088146"/>
  </r>
  <r>
    <x v="13"/>
    <s v="Emergency Dept Storage"/>
    <n v="118"/>
    <n v="199"/>
    <n v="0.59296482412060303"/>
  </r>
  <r>
    <x v="30"/>
    <s v="Emergency Dept Storage"/>
    <n v="117"/>
    <n v="767"/>
    <n v="0.15254237288135594"/>
  </r>
  <r>
    <x v="31"/>
    <s v="South Wing Pharmacy"/>
    <n v="117"/>
    <n v="115"/>
    <n v="1.0173913043478262"/>
  </r>
  <r>
    <x v="32"/>
    <s v="North Wing Pharmacy"/>
    <n v="117"/>
    <n v="84"/>
    <n v="1.3928571428571428"/>
  </r>
  <r>
    <x v="33"/>
    <s v="North Wing Pharmacy"/>
    <n v="116"/>
    <n v="171"/>
    <n v="0.67836257309941517"/>
  </r>
  <r>
    <x v="8"/>
    <s v="Outpatient Clinic"/>
    <n v="115"/>
    <n v="35"/>
    <n v="3.2857142857142856"/>
  </r>
  <r>
    <x v="34"/>
    <s v="Emergency Dept Storage"/>
    <n v="115"/>
    <n v="472"/>
    <n v="0.24364406779661016"/>
  </r>
  <r>
    <x v="35"/>
    <s v="Outpatient Clinic"/>
    <n v="115"/>
    <n v="205"/>
    <n v="0.56097560975609762"/>
  </r>
  <r>
    <x v="36"/>
    <s v="South Wing Pharmacy"/>
    <n v="115"/>
    <n v="136"/>
    <n v="0.84558823529411764"/>
  </r>
  <r>
    <x v="35"/>
    <s v="Emergency Dept Storage"/>
    <n v="114"/>
    <n v="209"/>
    <n v="0.54545454545454541"/>
  </r>
  <r>
    <x v="35"/>
    <s v="Main Warehouse"/>
    <n v="114"/>
    <n v="317"/>
    <n v="0.35962145110410093"/>
  </r>
  <r>
    <x v="37"/>
    <s v="Outpatient Clinic"/>
    <n v="113"/>
    <n v="476"/>
    <n v="0.23739495798319327"/>
  </r>
  <r>
    <x v="38"/>
    <s v="Emergency Dept Storage"/>
    <n v="113"/>
    <n v="24"/>
    <n v="4.708333333333333"/>
  </r>
  <r>
    <x v="1"/>
    <s v="Outpatient Clinic"/>
    <n v="112"/>
    <n v="135"/>
    <n v="0.82962962962962961"/>
  </r>
  <r>
    <x v="39"/>
    <s v="Main Warehouse"/>
    <n v="112"/>
    <n v="198"/>
    <n v="0.56565656565656564"/>
  </r>
  <r>
    <x v="28"/>
    <s v="North Wing Pharmacy"/>
    <n v="111"/>
    <n v="260"/>
    <n v="0.42692307692307691"/>
  </r>
  <r>
    <x v="24"/>
    <s v="Main Warehouse"/>
    <n v="110"/>
    <n v="481"/>
    <n v="0.2286902286902287"/>
  </r>
  <r>
    <x v="40"/>
    <s v="Emergency Dept Storage"/>
    <n v="109"/>
    <n v="87"/>
    <n v="1.2528735632183907"/>
  </r>
  <r>
    <x v="41"/>
    <s v="Emergency Dept Storage"/>
    <n v="109"/>
    <n v="91"/>
    <n v="1.1978021978021978"/>
  </r>
  <r>
    <x v="42"/>
    <s v="Outpatient Clinic"/>
    <n v="108"/>
    <n v="65"/>
    <n v="1.6615384615384614"/>
  </r>
  <r>
    <x v="43"/>
    <s v="North Wing Pharmacy"/>
    <n v="105"/>
    <n v="357"/>
    <n v="0.29411764705882354"/>
  </r>
  <r>
    <x v="0"/>
    <s v="South Wing Pharmacy"/>
    <n v="104"/>
    <n v="576"/>
    <n v="0.18055555555555555"/>
  </r>
  <r>
    <x v="35"/>
    <s v="Emergency Dept Storage"/>
    <n v="103"/>
    <n v="331"/>
    <n v="0.31117824773413899"/>
  </r>
  <r>
    <x v="44"/>
    <s v="Outpatient Clinic"/>
    <n v="103"/>
    <n v="123"/>
    <n v="0.83739837398373984"/>
  </r>
  <r>
    <x v="45"/>
    <s v="Main Warehouse"/>
    <n v="103"/>
    <n v="102"/>
    <n v="1.0098039215686274"/>
  </r>
  <r>
    <x v="46"/>
    <s v="Main Warehouse"/>
    <n v="102"/>
    <n v="132"/>
    <n v="0.77272727272727271"/>
  </r>
  <r>
    <x v="43"/>
    <s v="North Wing Pharmacy"/>
    <n v="102"/>
    <n v="128"/>
    <n v="0.796875"/>
  </r>
  <r>
    <x v="45"/>
    <s v="North Wing Pharmacy"/>
    <n v="102"/>
    <n v="504"/>
    <n v="0.20238095238095238"/>
  </r>
  <r>
    <x v="47"/>
    <s v="South Wing Pharmacy"/>
    <n v="102"/>
    <n v="118"/>
    <n v="0.86440677966101698"/>
  </r>
  <r>
    <x v="48"/>
    <s v="Outpatient Clinic"/>
    <n v="102"/>
    <n v="500"/>
    <n v="0.20399999999999999"/>
  </r>
  <r>
    <x v="10"/>
    <s v="Outpatient Clinic"/>
    <n v="102"/>
    <n v="125"/>
    <n v="0.81599999999999995"/>
  </r>
  <r>
    <x v="49"/>
    <s v="North Wing Pharmacy"/>
    <n v="101"/>
    <n v="148"/>
    <n v="0.68243243243243246"/>
  </r>
  <r>
    <x v="50"/>
    <s v="North Wing Pharmacy"/>
    <n v="101"/>
    <n v="434"/>
    <n v="0.23271889400921658"/>
  </r>
  <r>
    <x v="14"/>
    <s v="Main Warehouse"/>
    <n v="101"/>
    <n v="32"/>
    <n v="3.15625"/>
  </r>
  <r>
    <x v="51"/>
    <s v="Main Warehouse"/>
    <n v="100"/>
    <n v="222"/>
    <n v="0.45045045045045046"/>
  </r>
  <r>
    <x v="31"/>
    <s v="Outpatient Clinic"/>
    <n v="100"/>
    <n v="497"/>
    <n v="0.20120724346076457"/>
  </r>
  <r>
    <x v="12"/>
    <s v="North Wing Pharmacy"/>
    <n v="100"/>
    <n v="272"/>
    <n v="0.36764705882352944"/>
  </r>
  <r>
    <x v="17"/>
    <s v="South Wing Pharmacy"/>
    <n v="100"/>
    <n v="212"/>
    <n v="0.47169811320754718"/>
  </r>
  <r>
    <x v="23"/>
    <s v="Main Warehouse"/>
    <n v="99"/>
    <n v="570"/>
    <n v="0.1736842105263158"/>
  </r>
  <r>
    <x v="2"/>
    <s v="North Wing Pharmacy"/>
    <n v="97"/>
    <n v="288"/>
    <n v="0.33680555555555558"/>
  </r>
  <r>
    <x v="52"/>
    <s v="Outpatient Clinic"/>
    <n v="97"/>
    <n v="222"/>
    <n v="0.43693693693693691"/>
  </r>
  <r>
    <x v="53"/>
    <s v="Outpatient Clinic"/>
    <n v="96"/>
    <n v="100"/>
    <n v="0.96"/>
  </r>
  <r>
    <x v="54"/>
    <s v="Outpatient Clinic"/>
    <n v="96"/>
    <n v="141"/>
    <n v="0.68085106382978722"/>
  </r>
  <r>
    <x v="25"/>
    <s v="Outpatient Clinic"/>
    <n v="96"/>
    <n v="190"/>
    <n v="0.50526315789473686"/>
  </r>
  <r>
    <x v="19"/>
    <s v="South Wing Pharmacy"/>
    <n v="96"/>
    <n v="285"/>
    <n v="0.33684210526315789"/>
  </r>
  <r>
    <x v="22"/>
    <s v="Outpatient Clinic"/>
    <n v="95"/>
    <n v="365"/>
    <n v="0.26027397260273971"/>
  </r>
  <r>
    <x v="19"/>
    <s v="Main Warehouse"/>
    <n v="95"/>
    <n v="49"/>
    <n v="1.9387755102040816"/>
  </r>
  <r>
    <x v="33"/>
    <s v="North Wing Pharmacy"/>
    <n v="95"/>
    <n v="602"/>
    <n v="0.15780730897009967"/>
  </r>
  <r>
    <x v="28"/>
    <s v="Emergency Dept Storage"/>
    <n v="95"/>
    <n v="143"/>
    <n v="0.66433566433566438"/>
  </r>
  <r>
    <x v="37"/>
    <s v="Main Warehouse"/>
    <n v="95"/>
    <n v="141"/>
    <n v="0.67375886524822692"/>
  </r>
  <r>
    <x v="32"/>
    <s v="Emergency Dept Storage"/>
    <n v="94"/>
    <n v="228"/>
    <n v="0.41228070175438597"/>
  </r>
  <r>
    <x v="46"/>
    <s v="Outpatient Clinic"/>
    <n v="93"/>
    <n v="141"/>
    <n v="0.65957446808510634"/>
  </r>
  <r>
    <x v="55"/>
    <s v="Emergency Dept Storage"/>
    <n v="93"/>
    <n v="338"/>
    <n v="0.27514792899408286"/>
  </r>
  <r>
    <x v="56"/>
    <s v="South Wing Pharmacy"/>
    <n v="93"/>
    <n v="895"/>
    <n v="0.10391061452513967"/>
  </r>
  <r>
    <x v="57"/>
    <s v="Outpatient Clinic"/>
    <n v="93"/>
    <n v="434"/>
    <n v="0.21428571428571427"/>
  </r>
  <r>
    <x v="58"/>
    <s v="North Wing Pharmacy"/>
    <n v="91"/>
    <n v="140"/>
    <n v="0.65"/>
  </r>
  <r>
    <x v="59"/>
    <s v="Emergency Dept Storage"/>
    <n v="91"/>
    <n v="299"/>
    <n v="0.30434782608695654"/>
  </r>
  <r>
    <x v="20"/>
    <s v="Main Warehouse"/>
    <n v="90"/>
    <n v="292"/>
    <n v="0.30821917808219179"/>
  </r>
  <r>
    <x v="47"/>
    <s v="Main Warehouse"/>
    <n v="90"/>
    <n v="548"/>
    <n v="0.16423357664233576"/>
  </r>
  <r>
    <x v="2"/>
    <s v="North Wing Pharmacy"/>
    <n v="90"/>
    <n v="125"/>
    <n v="0.72"/>
  </r>
  <r>
    <x v="18"/>
    <s v="South Wing Pharmacy"/>
    <n v="89"/>
    <n v="31"/>
    <n v="2.870967741935484"/>
  </r>
  <r>
    <x v="60"/>
    <s v="Main Warehouse"/>
    <n v="89"/>
    <n v="217"/>
    <n v="0.41013824884792627"/>
  </r>
  <r>
    <x v="60"/>
    <s v="North Wing Pharmacy"/>
    <n v="89"/>
    <n v="269"/>
    <n v="0.33085501858736061"/>
  </r>
  <r>
    <x v="61"/>
    <s v="Outpatient Clinic"/>
    <n v="88"/>
    <n v="103"/>
    <n v="0.85436893203883491"/>
  </r>
  <r>
    <x v="62"/>
    <s v="South Wing Pharmacy"/>
    <n v="87"/>
    <n v="96"/>
    <n v="0.90625"/>
  </r>
  <r>
    <x v="14"/>
    <s v="Outpatient Clinic"/>
    <n v="87"/>
    <n v="311"/>
    <n v="0.27974276527331188"/>
  </r>
  <r>
    <x v="27"/>
    <s v="North Wing Pharmacy"/>
    <n v="87"/>
    <n v="364"/>
    <n v="0.23901098901098902"/>
  </r>
  <r>
    <x v="14"/>
    <s v="Emergency Dept Storage"/>
    <n v="87"/>
    <n v="517"/>
    <n v="0.16827852998065765"/>
  </r>
  <r>
    <x v="39"/>
    <s v="Outpatient Clinic"/>
    <n v="87"/>
    <n v="5"/>
    <n v="17.399999999999999"/>
  </r>
  <r>
    <x v="20"/>
    <s v="Outpatient Clinic"/>
    <n v="87"/>
    <n v="104"/>
    <n v="0.83653846153846156"/>
  </r>
  <r>
    <x v="24"/>
    <s v="Outpatient Clinic"/>
    <n v="86"/>
    <n v="372"/>
    <n v="0.23118279569892472"/>
  </r>
  <r>
    <x v="63"/>
    <s v="Emergency Dept Storage"/>
    <n v="86"/>
    <n v="379"/>
    <n v="0.22691292875989447"/>
  </r>
  <r>
    <x v="64"/>
    <s v="Emergency Dept Storage"/>
    <n v="86"/>
    <n v="178"/>
    <n v="0.48314606741573035"/>
  </r>
  <r>
    <x v="30"/>
    <s v="Outpatient Clinic"/>
    <n v="86"/>
    <n v="226"/>
    <n v="0.38053097345132741"/>
  </r>
  <r>
    <x v="65"/>
    <s v="Outpatient Clinic"/>
    <n v="86"/>
    <n v="219"/>
    <n v="0.39269406392694062"/>
  </r>
  <r>
    <x v="37"/>
    <s v="Outpatient Clinic"/>
    <n v="86"/>
    <n v="579"/>
    <n v="0.14853195164075994"/>
  </r>
  <r>
    <x v="66"/>
    <s v="North Wing Pharmacy"/>
    <n v="86"/>
    <n v="554"/>
    <n v="0.1552346570397112"/>
  </r>
  <r>
    <x v="18"/>
    <s v="South Wing Pharmacy"/>
    <n v="85"/>
    <n v="794"/>
    <n v="0.1070528967254408"/>
  </r>
  <r>
    <x v="65"/>
    <s v="Main Warehouse"/>
    <n v="85"/>
    <n v="319"/>
    <n v="0.2664576802507837"/>
  </r>
  <r>
    <x v="67"/>
    <s v="South Wing Pharmacy"/>
    <n v="85"/>
    <n v="411"/>
    <n v="0.20681265206812652"/>
  </r>
  <r>
    <x v="51"/>
    <s v="South Wing Pharmacy"/>
    <n v="84"/>
    <n v="100"/>
    <n v="0.84"/>
  </r>
  <r>
    <x v="3"/>
    <s v="Main Warehouse"/>
    <n v="84"/>
    <n v="10"/>
    <n v="8.4"/>
  </r>
  <r>
    <x v="68"/>
    <s v="Emergency Dept Storage"/>
    <n v="84"/>
    <n v="60"/>
    <n v="1.4"/>
  </r>
  <r>
    <x v="60"/>
    <s v="Emergency Dept Storage"/>
    <n v="83"/>
    <n v="393"/>
    <n v="0.21119592875318066"/>
  </r>
  <r>
    <x v="69"/>
    <s v="Emergency Dept Storage"/>
    <n v="82"/>
    <n v="73"/>
    <n v="1.1232876712328768"/>
  </r>
  <r>
    <x v="31"/>
    <s v="Outpatient Clinic"/>
    <n v="82"/>
    <n v="435"/>
    <n v="0.18850574712643678"/>
  </r>
  <r>
    <x v="66"/>
    <s v="South Wing Pharmacy"/>
    <n v="82"/>
    <n v="40"/>
    <n v="2.0499999999999998"/>
  </r>
  <r>
    <x v="8"/>
    <s v="North Wing Pharmacy"/>
    <n v="81"/>
    <n v="742"/>
    <n v="0.1091644204851752"/>
  </r>
  <r>
    <x v="54"/>
    <s v="North Wing Pharmacy"/>
    <n v="81"/>
    <n v="165"/>
    <n v="0.49090909090909091"/>
  </r>
  <r>
    <x v="18"/>
    <s v="Main Warehouse"/>
    <n v="81"/>
    <n v="159"/>
    <n v="0.50943396226415094"/>
  </r>
  <r>
    <x v="67"/>
    <s v="South Wing Pharmacy"/>
    <n v="81"/>
    <n v="35"/>
    <n v="2.3142857142857145"/>
  </r>
  <r>
    <x v="60"/>
    <s v="Emergency Dept Storage"/>
    <n v="81"/>
    <n v="93"/>
    <n v="0.87096774193548387"/>
  </r>
  <r>
    <x v="40"/>
    <s v="Outpatient Clinic"/>
    <n v="80"/>
    <n v="810"/>
    <n v="9.8765432098765427E-2"/>
  </r>
  <r>
    <x v="4"/>
    <s v="Emergency Dept Storage"/>
    <n v="80"/>
    <n v="4"/>
    <n v="20"/>
  </r>
  <r>
    <x v="70"/>
    <s v="South Wing Pharmacy"/>
    <n v="80"/>
    <n v="234"/>
    <n v="0.34188034188034189"/>
  </r>
  <r>
    <x v="26"/>
    <s v="Emergency Dept Storage"/>
    <n v="80"/>
    <n v="181"/>
    <n v="0.44198895027624308"/>
  </r>
  <r>
    <x v="40"/>
    <s v="Main Warehouse"/>
    <n v="80"/>
    <n v="103"/>
    <n v="0.77669902912621358"/>
  </r>
  <r>
    <x v="45"/>
    <s v="Main Warehouse"/>
    <n v="79"/>
    <n v="566"/>
    <n v="0.13957597173144876"/>
  </r>
  <r>
    <x v="46"/>
    <s v="South Wing Pharmacy"/>
    <n v="79"/>
    <n v="334"/>
    <n v="0.23652694610778444"/>
  </r>
  <r>
    <x v="71"/>
    <s v="North Wing Pharmacy"/>
    <n v="79"/>
    <n v="143"/>
    <n v="0.55244755244755239"/>
  </r>
  <r>
    <x v="41"/>
    <s v="Outpatient Clinic"/>
    <n v="79"/>
    <n v="2"/>
    <n v="39.5"/>
  </r>
  <r>
    <x v="48"/>
    <s v="North Wing Pharmacy"/>
    <n v="78"/>
    <n v="239"/>
    <n v="0.32635983263598328"/>
  </r>
  <r>
    <x v="72"/>
    <s v="Main Warehouse"/>
    <n v="78"/>
    <n v="578"/>
    <n v="0.13494809688581313"/>
  </r>
  <r>
    <x v="34"/>
    <s v="South Wing Pharmacy"/>
    <n v="78"/>
    <n v="75"/>
    <n v="1.04"/>
  </r>
  <r>
    <x v="41"/>
    <s v="North Wing Pharmacy"/>
    <n v="77"/>
    <n v="514"/>
    <n v="0.14980544747081712"/>
  </r>
  <r>
    <x v="26"/>
    <s v="North Wing Pharmacy"/>
    <n v="77"/>
    <n v="38"/>
    <n v="2.0263157894736841"/>
  </r>
  <r>
    <x v="39"/>
    <s v="Outpatient Clinic"/>
    <n v="77"/>
    <n v="508"/>
    <n v="0.15157480314960631"/>
  </r>
  <r>
    <x v="10"/>
    <s v="North Wing Pharmacy"/>
    <n v="77"/>
    <n v="274"/>
    <n v="0.28102189781021897"/>
  </r>
  <r>
    <x v="73"/>
    <s v="South Wing Pharmacy"/>
    <n v="77"/>
    <n v="75"/>
    <n v="1.0266666666666666"/>
  </r>
  <r>
    <x v="4"/>
    <s v="North Wing Pharmacy"/>
    <n v="76"/>
    <n v="8"/>
    <n v="9.5"/>
  </r>
  <r>
    <x v="74"/>
    <s v="Outpatient Clinic"/>
    <n v="76"/>
    <n v="207"/>
    <n v="0.3671497584541063"/>
  </r>
  <r>
    <x v="75"/>
    <s v="Emergency Dept Storage"/>
    <n v="75"/>
    <n v="94"/>
    <n v="0.7978723404255319"/>
  </r>
  <r>
    <x v="76"/>
    <s v="Emergency Dept Storage"/>
    <n v="75"/>
    <n v="7"/>
    <n v="10.714285714285714"/>
  </r>
  <r>
    <x v="53"/>
    <s v="South Wing Pharmacy"/>
    <n v="75"/>
    <n v="387"/>
    <n v="0.19379844961240311"/>
  </r>
  <r>
    <x v="53"/>
    <s v="North Wing Pharmacy"/>
    <n v="75"/>
    <n v="252"/>
    <n v="0.29761904761904762"/>
  </r>
  <r>
    <x v="26"/>
    <s v="North Wing Pharmacy"/>
    <n v="75"/>
    <n v="150"/>
    <n v="0.5"/>
  </r>
  <r>
    <x v="25"/>
    <s v="Main Warehouse"/>
    <n v="75"/>
    <n v="186"/>
    <n v="0.40322580645161288"/>
  </r>
  <r>
    <x v="77"/>
    <s v="Emergency Dept Storage"/>
    <n v="75"/>
    <n v="101"/>
    <n v="0.74257425742574257"/>
  </r>
  <r>
    <x v="14"/>
    <s v="Main Warehouse"/>
    <n v="74"/>
    <n v="15"/>
    <n v="4.9333333333333336"/>
  </r>
  <r>
    <x v="9"/>
    <s v="Outpatient Clinic"/>
    <n v="74"/>
    <n v="297"/>
    <n v="0.24915824915824916"/>
  </r>
  <r>
    <x v="8"/>
    <s v="Main Warehouse"/>
    <n v="74"/>
    <n v="54"/>
    <n v="1.3703703703703705"/>
  </r>
  <r>
    <x v="50"/>
    <s v="Emergency Dept Storage"/>
    <n v="74"/>
    <n v="231"/>
    <n v="0.32034632034632032"/>
  </r>
  <r>
    <x v="56"/>
    <s v="Emergency Dept Storage"/>
    <n v="74"/>
    <n v="88"/>
    <n v="0.84090909090909094"/>
  </r>
  <r>
    <x v="39"/>
    <s v="South Wing Pharmacy"/>
    <n v="73"/>
    <n v="339"/>
    <n v="0.21533923303834809"/>
  </r>
  <r>
    <x v="43"/>
    <s v="Main Warehouse"/>
    <n v="73"/>
    <n v="599"/>
    <n v="0.12186978297161936"/>
  </r>
  <r>
    <x v="22"/>
    <s v="Outpatient Clinic"/>
    <n v="73"/>
    <n v="425"/>
    <n v="0.17176470588235293"/>
  </r>
  <r>
    <x v="69"/>
    <s v="Main Warehouse"/>
    <n v="73"/>
    <n v="297"/>
    <n v="0.24579124579124578"/>
  </r>
  <r>
    <x v="49"/>
    <s v="Main Warehouse"/>
    <n v="73"/>
    <n v="122"/>
    <n v="0.59836065573770492"/>
  </r>
  <r>
    <x v="17"/>
    <s v="South Wing Pharmacy"/>
    <n v="72"/>
    <n v="608"/>
    <n v="0.11842105263157894"/>
  </r>
  <r>
    <x v="70"/>
    <s v="South Wing Pharmacy"/>
    <n v="72"/>
    <n v="190"/>
    <n v="0.37894736842105264"/>
  </r>
  <r>
    <x v="31"/>
    <s v="Outpatient Clinic"/>
    <n v="72"/>
    <n v="83"/>
    <n v="0.86746987951807231"/>
  </r>
  <r>
    <x v="77"/>
    <s v="South Wing Pharmacy"/>
    <n v="72"/>
    <n v="269"/>
    <n v="0.26765799256505574"/>
  </r>
  <r>
    <x v="46"/>
    <s v="North Wing Pharmacy"/>
    <n v="72"/>
    <n v="736"/>
    <n v="9.7826086956521743E-2"/>
  </r>
  <r>
    <x v="33"/>
    <s v="South Wing Pharmacy"/>
    <n v="72"/>
    <n v="683"/>
    <n v="0.10541727672035139"/>
  </r>
  <r>
    <x v="4"/>
    <s v="North Wing Pharmacy"/>
    <n v="71"/>
    <n v="116"/>
    <n v="0.61206896551724133"/>
  </r>
  <r>
    <x v="34"/>
    <s v="Emergency Dept Storage"/>
    <n v="71"/>
    <n v="262"/>
    <n v="0.27099236641221375"/>
  </r>
  <r>
    <x v="75"/>
    <s v="Emergency Dept Storage"/>
    <n v="71"/>
    <n v="288"/>
    <n v="0.24652777777777779"/>
  </r>
  <r>
    <x v="10"/>
    <s v="South Wing Pharmacy"/>
    <n v="71"/>
    <n v="133"/>
    <n v="0.53383458646616544"/>
  </r>
  <r>
    <x v="33"/>
    <s v="South Wing Pharmacy"/>
    <n v="71"/>
    <n v="281"/>
    <n v="0.25266903914590749"/>
  </r>
  <r>
    <x v="45"/>
    <s v="Emergency Dept Storage"/>
    <n v="71"/>
    <n v="369"/>
    <n v="0.19241192411924118"/>
  </r>
  <r>
    <x v="12"/>
    <s v="South Wing Pharmacy"/>
    <n v="71"/>
    <n v="150"/>
    <n v="0.47333333333333333"/>
  </r>
  <r>
    <x v="78"/>
    <s v="Outpatient Clinic"/>
    <n v="71"/>
    <n v="270"/>
    <n v="0.26296296296296295"/>
  </r>
  <r>
    <x v="23"/>
    <s v="Outpatient Clinic"/>
    <n v="70"/>
    <n v="432"/>
    <n v="0.16203703703703703"/>
  </r>
  <r>
    <x v="79"/>
    <s v="Emergency Dept Storage"/>
    <n v="70"/>
    <n v="105"/>
    <n v="0.66666666666666663"/>
  </r>
  <r>
    <x v="38"/>
    <s v="Outpatient Clinic"/>
    <n v="70"/>
    <n v="342"/>
    <n v="0.2046783625730994"/>
  </r>
  <r>
    <x v="80"/>
    <s v="South Wing Pharmacy"/>
    <n v="69"/>
    <n v="42"/>
    <n v="1.6428571428571428"/>
  </r>
  <r>
    <x v="9"/>
    <s v="Main Warehouse"/>
    <n v="69"/>
    <n v="567"/>
    <n v="0.12169312169312169"/>
  </r>
  <r>
    <x v="60"/>
    <s v="South Wing Pharmacy"/>
    <n v="69"/>
    <n v="464"/>
    <n v="0.14870689655172414"/>
  </r>
  <r>
    <x v="60"/>
    <s v="Emergency Dept Storage"/>
    <n v="69"/>
    <n v="179"/>
    <n v="0.38547486033519551"/>
  </r>
  <r>
    <x v="81"/>
    <s v="Emergency Dept Storage"/>
    <n v="68"/>
    <n v="637"/>
    <n v="0.10675039246467818"/>
  </r>
  <r>
    <x v="34"/>
    <s v="North Wing Pharmacy"/>
    <n v="68"/>
    <n v="223"/>
    <n v="0.30493273542600896"/>
  </r>
  <r>
    <x v="45"/>
    <s v="Emergency Dept Storage"/>
    <n v="68"/>
    <n v="411"/>
    <n v="0.16545012165450121"/>
  </r>
  <r>
    <x v="33"/>
    <s v="South Wing Pharmacy"/>
    <n v="68"/>
    <n v="406"/>
    <n v="0.16748768472906403"/>
  </r>
  <r>
    <x v="60"/>
    <s v="North Wing Pharmacy"/>
    <n v="68"/>
    <n v="16"/>
    <n v="4.25"/>
  </r>
  <r>
    <x v="82"/>
    <s v="Outpatient Clinic"/>
    <n v="67"/>
    <n v="296"/>
    <n v="0.22635135135135134"/>
  </r>
  <r>
    <x v="3"/>
    <s v="North Wing Pharmacy"/>
    <n v="67"/>
    <n v="293"/>
    <n v="0.22866894197952217"/>
  </r>
  <r>
    <x v="69"/>
    <s v="Main Warehouse"/>
    <n v="67"/>
    <n v="507"/>
    <n v="0.13214990138067062"/>
  </r>
  <r>
    <x v="32"/>
    <s v="Emergency Dept Storage"/>
    <n v="67"/>
    <n v="594"/>
    <n v="0.11279461279461279"/>
  </r>
  <r>
    <x v="15"/>
    <s v="Main Warehouse"/>
    <n v="67"/>
    <n v="22"/>
    <n v="3.0454545454545454"/>
  </r>
  <r>
    <x v="28"/>
    <s v="South Wing Pharmacy"/>
    <n v="67"/>
    <n v="453"/>
    <n v="0.1479028697571744"/>
  </r>
  <r>
    <x v="83"/>
    <s v="Main Warehouse"/>
    <n v="67"/>
    <n v="277"/>
    <n v="0.24187725631768953"/>
  </r>
  <r>
    <x v="70"/>
    <s v="South Wing Pharmacy"/>
    <n v="66"/>
    <n v="125"/>
    <n v="0.52800000000000002"/>
  </r>
  <r>
    <x v="23"/>
    <s v="South Wing Pharmacy"/>
    <n v="66"/>
    <n v="222"/>
    <n v="0.29729729729729731"/>
  </r>
  <r>
    <x v="80"/>
    <s v="South Wing Pharmacy"/>
    <n v="66"/>
    <n v="162"/>
    <n v="0.40740740740740738"/>
  </r>
  <r>
    <x v="65"/>
    <s v="South Wing Pharmacy"/>
    <n v="66"/>
    <n v="272"/>
    <n v="0.24264705882352941"/>
  </r>
  <r>
    <x v="9"/>
    <s v="Outpatient Clinic"/>
    <n v="66"/>
    <n v="57"/>
    <n v="1.1578947368421053"/>
  </r>
  <r>
    <x v="84"/>
    <s v="North Wing Pharmacy"/>
    <n v="66"/>
    <n v="842"/>
    <n v="7.8384798099762468E-2"/>
  </r>
  <r>
    <x v="39"/>
    <s v="South Wing Pharmacy"/>
    <n v="66"/>
    <n v="517"/>
    <n v="0.1276595744680851"/>
  </r>
  <r>
    <x v="85"/>
    <s v="Outpatient Clinic"/>
    <n v="66"/>
    <n v="267"/>
    <n v="0.24719101123595505"/>
  </r>
  <r>
    <x v="86"/>
    <s v="Emergency Dept Storage"/>
    <n v="66"/>
    <n v="272"/>
    <n v="0.24264705882352941"/>
  </r>
  <r>
    <x v="87"/>
    <s v="Emergency Dept Storage"/>
    <n v="66"/>
    <n v="138"/>
    <n v="0.47826086956521741"/>
  </r>
  <r>
    <x v="8"/>
    <s v="South Wing Pharmacy"/>
    <n v="65"/>
    <n v="345"/>
    <n v="0.18840579710144928"/>
  </r>
  <r>
    <x v="34"/>
    <s v="Outpatient Clinic"/>
    <n v="65"/>
    <n v="14"/>
    <n v="4.6428571428571432"/>
  </r>
  <r>
    <x v="88"/>
    <s v="Emergency Dept Storage"/>
    <n v="65"/>
    <n v="738"/>
    <n v="8.8075880758807581E-2"/>
  </r>
  <r>
    <x v="88"/>
    <s v="Outpatient Clinic"/>
    <n v="65"/>
    <n v="103"/>
    <n v="0.6310679611650486"/>
  </r>
  <r>
    <x v="86"/>
    <s v="Emergency Dept Storage"/>
    <n v="65"/>
    <n v="28"/>
    <n v="2.3214285714285716"/>
  </r>
  <r>
    <x v="42"/>
    <s v="Outpatient Clinic"/>
    <n v="65"/>
    <n v="198"/>
    <n v="0.32828282828282829"/>
  </r>
  <r>
    <x v="30"/>
    <s v="Outpatient Clinic"/>
    <n v="65"/>
    <n v="99"/>
    <n v="0.65656565656565657"/>
  </r>
  <r>
    <x v="29"/>
    <s v="South Wing Pharmacy"/>
    <n v="64"/>
    <n v="37"/>
    <n v="1.7297297297297296"/>
  </r>
  <r>
    <x v="34"/>
    <s v="Emergency Dept Storage"/>
    <n v="64"/>
    <n v="107"/>
    <n v="0.59813084112149528"/>
  </r>
  <r>
    <x v="33"/>
    <s v="Outpatient Clinic"/>
    <n v="64"/>
    <n v="350"/>
    <n v="0.18285714285714286"/>
  </r>
  <r>
    <x v="32"/>
    <s v="Outpatient Clinic"/>
    <n v="64"/>
    <n v="576"/>
    <n v="0.1111111111111111"/>
  </r>
  <r>
    <x v="75"/>
    <s v="Main Warehouse"/>
    <n v="64"/>
    <n v="436"/>
    <n v="0.14678899082568808"/>
  </r>
  <r>
    <x v="89"/>
    <s v="North Wing Pharmacy"/>
    <n v="63"/>
    <n v="140"/>
    <n v="0.45"/>
  </r>
  <r>
    <x v="90"/>
    <s v="Outpatient Clinic"/>
    <n v="63"/>
    <n v="136"/>
    <n v="0.46323529411764708"/>
  </r>
  <r>
    <x v="19"/>
    <s v="South Wing Pharmacy"/>
    <n v="63"/>
    <n v="124"/>
    <n v="0.50806451612903225"/>
  </r>
  <r>
    <x v="90"/>
    <s v="Outpatient Clinic"/>
    <n v="63"/>
    <n v="352"/>
    <n v="0.17897727272727273"/>
  </r>
  <r>
    <x v="74"/>
    <s v="Outpatient Clinic"/>
    <n v="63"/>
    <n v="270"/>
    <n v="0.23333333333333334"/>
  </r>
  <r>
    <x v="61"/>
    <s v="Main Warehouse"/>
    <n v="63"/>
    <n v="220"/>
    <n v="0.28636363636363638"/>
  </r>
  <r>
    <x v="65"/>
    <s v="Emergency Dept Storage"/>
    <n v="62"/>
    <n v="367"/>
    <n v="0.16893732970027248"/>
  </r>
  <r>
    <x v="9"/>
    <s v="South Wing Pharmacy"/>
    <n v="62"/>
    <n v="29"/>
    <n v="2.1379310344827585"/>
  </r>
  <r>
    <x v="24"/>
    <s v="Outpatient Clinic"/>
    <n v="62"/>
    <n v="177"/>
    <n v="0.35028248587570621"/>
  </r>
  <r>
    <x v="10"/>
    <s v="South Wing Pharmacy"/>
    <n v="61"/>
    <n v="26"/>
    <n v="2.3461538461538463"/>
  </r>
  <r>
    <x v="35"/>
    <s v="South Wing Pharmacy"/>
    <n v="61"/>
    <n v="45"/>
    <n v="1.3555555555555556"/>
  </r>
  <r>
    <x v="82"/>
    <s v="Main Warehouse"/>
    <n v="61"/>
    <n v="207"/>
    <n v="0.29468599033816423"/>
  </r>
  <r>
    <x v="26"/>
    <s v="Main Warehouse"/>
    <n v="61"/>
    <n v="582"/>
    <n v="0.10481099656357389"/>
  </r>
  <r>
    <x v="48"/>
    <s v="North Wing Pharmacy"/>
    <n v="61"/>
    <n v="621"/>
    <n v="9.8228663446054756E-2"/>
  </r>
  <r>
    <x v="15"/>
    <s v="Emergency Dept Storage"/>
    <n v="61"/>
    <n v="91"/>
    <n v="0.67032967032967028"/>
  </r>
  <r>
    <x v="33"/>
    <s v="Main Warehouse"/>
    <n v="61"/>
    <n v="21"/>
    <n v="2.9047619047619047"/>
  </r>
  <r>
    <x v="91"/>
    <s v="South Wing Pharmacy"/>
    <n v="61"/>
    <n v="121"/>
    <n v="0.50413223140495866"/>
  </r>
  <r>
    <x v="9"/>
    <s v="Emergency Dept Storage"/>
    <n v="61"/>
    <n v="109"/>
    <n v="0.55963302752293576"/>
  </r>
  <r>
    <x v="55"/>
    <s v="North Wing Pharmacy"/>
    <n v="60"/>
    <n v="336"/>
    <n v="0.17857142857142858"/>
  </r>
  <r>
    <x v="19"/>
    <s v="Emergency Dept Storage"/>
    <n v="60"/>
    <n v="21"/>
    <n v="2.8571428571428572"/>
  </r>
  <r>
    <x v="4"/>
    <s v="Emergency Dept Storage"/>
    <n v="60"/>
    <n v="387"/>
    <n v="0.15503875968992248"/>
  </r>
  <r>
    <x v="84"/>
    <s v="North Wing Pharmacy"/>
    <n v="60"/>
    <n v="346"/>
    <n v="0.17341040462427745"/>
  </r>
  <r>
    <x v="77"/>
    <s v="Main Warehouse"/>
    <n v="60"/>
    <n v="76"/>
    <n v="0.78947368421052633"/>
  </r>
  <r>
    <x v="77"/>
    <s v="Main Warehouse"/>
    <n v="59"/>
    <n v="728"/>
    <n v="8.1043956043956047E-2"/>
  </r>
  <r>
    <x v="53"/>
    <s v="Main Warehouse"/>
    <n v="59"/>
    <n v="90"/>
    <n v="0.65555555555555556"/>
  </r>
  <r>
    <x v="85"/>
    <s v="Main Warehouse"/>
    <n v="59"/>
    <n v="212"/>
    <n v="0.27830188679245282"/>
  </r>
  <r>
    <x v="92"/>
    <s v="South Wing Pharmacy"/>
    <n v="59"/>
    <n v="353"/>
    <n v="0.16713881019830029"/>
  </r>
  <r>
    <x v="46"/>
    <s v="Emergency Dept Storage"/>
    <n v="59"/>
    <n v="333"/>
    <n v="0.17717717717717718"/>
  </r>
  <r>
    <x v="15"/>
    <s v="Outpatient Clinic"/>
    <n v="59"/>
    <n v="252"/>
    <n v="0.23412698412698413"/>
  </r>
  <r>
    <x v="44"/>
    <s v="North Wing Pharmacy"/>
    <n v="59"/>
    <n v="255"/>
    <n v="0.23137254901960785"/>
  </r>
  <r>
    <x v="79"/>
    <s v="Main Warehouse"/>
    <n v="59"/>
    <n v="355"/>
    <n v="0.16619718309859155"/>
  </r>
  <r>
    <x v="11"/>
    <s v="Outpatient Clinic"/>
    <n v="59"/>
    <n v="137"/>
    <n v="0.43065693430656932"/>
  </r>
  <r>
    <x v="73"/>
    <s v="Main Warehouse"/>
    <n v="59"/>
    <n v="267"/>
    <n v="0.22097378277153559"/>
  </r>
  <r>
    <x v="15"/>
    <s v="Outpatient Clinic"/>
    <n v="59"/>
    <n v="659"/>
    <n v="8.9529590288315627E-2"/>
  </r>
  <r>
    <x v="4"/>
    <s v="Emergency Dept Storage"/>
    <n v="58"/>
    <n v="354"/>
    <n v="0.16384180790960451"/>
  </r>
  <r>
    <x v="79"/>
    <s v="South Wing Pharmacy"/>
    <n v="58"/>
    <n v="661"/>
    <n v="8.7745839636913764E-2"/>
  </r>
  <r>
    <x v="61"/>
    <s v="Emergency Dept Storage"/>
    <n v="58"/>
    <n v="377"/>
    <n v="0.15384615384615385"/>
  </r>
  <r>
    <x v="16"/>
    <s v="Emergency Dept Storage"/>
    <n v="58"/>
    <n v="911"/>
    <n v="6.3666300768386391E-2"/>
  </r>
  <r>
    <x v="59"/>
    <s v="South Wing Pharmacy"/>
    <n v="58"/>
    <n v="314"/>
    <n v="0.18471337579617833"/>
  </r>
  <r>
    <x v="24"/>
    <s v="North Wing Pharmacy"/>
    <n v="57"/>
    <n v="146"/>
    <n v="0.3904109589041096"/>
  </r>
  <r>
    <x v="4"/>
    <s v="South Wing Pharmacy"/>
    <n v="57"/>
    <n v="139"/>
    <n v="0.41007194244604317"/>
  </r>
  <r>
    <x v="38"/>
    <s v="Main Warehouse"/>
    <n v="57"/>
    <n v="19"/>
    <n v="3"/>
  </r>
  <r>
    <x v="48"/>
    <s v="Main Warehouse"/>
    <n v="57"/>
    <n v="81"/>
    <n v="0.70370370370370372"/>
  </r>
  <r>
    <x v="29"/>
    <s v="Emergency Dept Storage"/>
    <n v="57"/>
    <n v="213"/>
    <n v="0.26760563380281688"/>
  </r>
  <r>
    <x v="17"/>
    <s v="North Wing Pharmacy"/>
    <n v="56"/>
    <n v="521"/>
    <n v="0.10748560460652591"/>
  </r>
  <r>
    <x v="20"/>
    <s v="Main Warehouse"/>
    <n v="56"/>
    <n v="2"/>
    <n v="28"/>
  </r>
  <r>
    <x v="16"/>
    <s v="North Wing Pharmacy"/>
    <n v="56"/>
    <n v="57"/>
    <n v="0.98245614035087714"/>
  </r>
  <r>
    <x v="90"/>
    <s v="Main Warehouse"/>
    <n v="56"/>
    <n v="206"/>
    <n v="0.27184466019417475"/>
  </r>
  <r>
    <x v="2"/>
    <s v="Outpatient Clinic"/>
    <n v="55"/>
    <n v="555"/>
    <n v="9.90990990990991E-2"/>
  </r>
  <r>
    <x v="42"/>
    <s v="Outpatient Clinic"/>
    <n v="55"/>
    <n v="125"/>
    <n v="0.44"/>
  </r>
  <r>
    <x v="28"/>
    <s v="Emergency Dept Storage"/>
    <n v="55"/>
    <n v="66"/>
    <n v="0.83333333333333337"/>
  </r>
  <r>
    <x v="0"/>
    <s v="North Wing Pharmacy"/>
    <n v="54"/>
    <n v="28"/>
    <n v="1.9285714285714286"/>
  </r>
  <r>
    <x v="90"/>
    <s v="South Wing Pharmacy"/>
    <n v="54"/>
    <n v="40"/>
    <n v="1.35"/>
  </r>
  <r>
    <x v="57"/>
    <s v="Emergency Dept Storage"/>
    <n v="54"/>
    <n v="208"/>
    <n v="0.25961538461538464"/>
  </r>
  <r>
    <x v="27"/>
    <s v="Emergency Dept Storage"/>
    <n v="54"/>
    <n v="233"/>
    <n v="0.23175965665236051"/>
  </r>
  <r>
    <x v="64"/>
    <s v="North Wing Pharmacy"/>
    <n v="54"/>
    <n v="619"/>
    <n v="8.723747980613894E-2"/>
  </r>
  <r>
    <x v="85"/>
    <s v="South Wing Pharmacy"/>
    <n v="54"/>
    <n v="115"/>
    <n v="0.46956521739130436"/>
  </r>
  <r>
    <x v="53"/>
    <s v="North Wing Pharmacy"/>
    <n v="54"/>
    <n v="144"/>
    <n v="0.375"/>
  </r>
  <r>
    <x v="55"/>
    <s v="Emergency Dept Storage"/>
    <n v="54"/>
    <n v="41"/>
    <n v="1.3170731707317074"/>
  </r>
  <r>
    <x v="3"/>
    <s v="Emergency Dept Storage"/>
    <n v="53"/>
    <n v="896"/>
    <n v="5.9151785714285712E-2"/>
  </r>
  <r>
    <x v="78"/>
    <s v="South Wing Pharmacy"/>
    <n v="53"/>
    <n v="102"/>
    <n v="0.51960784313725494"/>
  </r>
  <r>
    <x v="49"/>
    <s v="South Wing Pharmacy"/>
    <n v="53"/>
    <n v="111"/>
    <n v="0.47747747747747749"/>
  </r>
  <r>
    <x v="81"/>
    <s v="Emergency Dept Storage"/>
    <n v="53"/>
    <n v="42"/>
    <n v="1.2619047619047619"/>
  </r>
  <r>
    <x v="93"/>
    <s v="Outpatient Clinic"/>
    <n v="53"/>
    <n v="933"/>
    <n v="5.6806002143622719E-2"/>
  </r>
  <r>
    <x v="30"/>
    <s v="South Wing Pharmacy"/>
    <n v="53"/>
    <n v="165"/>
    <n v="0.32121212121212123"/>
  </r>
  <r>
    <x v="77"/>
    <s v="Emergency Dept Storage"/>
    <n v="53"/>
    <n v="15"/>
    <n v="3.5333333333333332"/>
  </r>
  <r>
    <x v="24"/>
    <s v="Outpatient Clinic"/>
    <n v="53"/>
    <n v="37"/>
    <n v="1.4324324324324325"/>
  </r>
  <r>
    <x v="24"/>
    <s v="Outpatient Clinic"/>
    <n v="53"/>
    <n v="155"/>
    <n v="0.34193548387096773"/>
  </r>
  <r>
    <x v="81"/>
    <s v="Outpatient Clinic"/>
    <n v="52"/>
    <n v="642"/>
    <n v="8.0996884735202487E-2"/>
  </r>
  <r>
    <x v="56"/>
    <s v="North Wing Pharmacy"/>
    <n v="52"/>
    <n v="695"/>
    <n v="7.4820143884892082E-2"/>
  </r>
  <r>
    <x v="60"/>
    <s v="North Wing Pharmacy"/>
    <n v="52"/>
    <n v="33"/>
    <n v="1.5757575757575757"/>
  </r>
  <r>
    <x v="76"/>
    <s v="South Wing Pharmacy"/>
    <n v="52"/>
    <n v="109"/>
    <n v="0.47706422018348627"/>
  </r>
  <r>
    <x v="10"/>
    <s v="Outpatient Clinic"/>
    <n v="52"/>
    <n v="583"/>
    <n v="8.9193825042881647E-2"/>
  </r>
  <r>
    <x v="32"/>
    <s v="Emergency Dept Storage"/>
    <n v="52"/>
    <n v="664"/>
    <n v="7.8313253012048195E-2"/>
  </r>
  <r>
    <x v="9"/>
    <s v="Main Warehouse"/>
    <n v="51"/>
    <n v="143"/>
    <n v="0.35664335664335667"/>
  </r>
  <r>
    <x v="48"/>
    <s v="Outpatient Clinic"/>
    <n v="51"/>
    <n v="100"/>
    <n v="0.51"/>
  </r>
  <r>
    <x v="12"/>
    <s v="Emergency Dept Storage"/>
    <n v="51"/>
    <n v="55"/>
    <n v="0.92727272727272725"/>
  </r>
  <r>
    <x v="0"/>
    <s v="Emergency Dept Storage"/>
    <n v="51"/>
    <n v="65"/>
    <n v="0.7846153846153846"/>
  </r>
  <r>
    <x v="49"/>
    <s v="North Wing Pharmacy"/>
    <n v="50"/>
    <n v="128"/>
    <n v="0.390625"/>
  </r>
  <r>
    <x v="40"/>
    <s v="Outpatient Clinic"/>
    <n v="50"/>
    <n v="16"/>
    <n v="3.125"/>
  </r>
  <r>
    <x v="24"/>
    <s v="North Wing Pharmacy"/>
    <n v="50"/>
    <n v="104"/>
    <n v="0.48076923076923078"/>
  </r>
  <r>
    <x v="20"/>
    <s v="North Wing Pharmacy"/>
    <n v="50"/>
    <n v="87"/>
    <n v="0.57471264367816088"/>
  </r>
  <r>
    <x v="94"/>
    <s v="North Wing Pharmacy"/>
    <n v="50"/>
    <n v="94"/>
    <n v="0.53191489361702127"/>
  </r>
  <r>
    <x v="19"/>
    <s v="Emergency Dept Storage"/>
    <n v="50"/>
    <n v="218"/>
    <n v="0.22935779816513763"/>
  </r>
  <r>
    <x v="42"/>
    <s v="Emergency Dept Storage"/>
    <n v="50"/>
    <n v="632"/>
    <n v="7.9113924050632917E-2"/>
  </r>
  <r>
    <x v="95"/>
    <s v="Main Warehouse"/>
    <n v="50"/>
    <n v="547"/>
    <n v="9.1407678244972576E-2"/>
  </r>
  <r>
    <x v="96"/>
    <s v="Outpatient Clinic"/>
    <n v="50"/>
    <n v="306"/>
    <n v="0.16339869281045752"/>
  </r>
  <r>
    <x v="88"/>
    <s v="North Wing Pharmacy"/>
    <n v="50"/>
    <n v="136"/>
    <n v="0.36764705882352944"/>
  </r>
  <r>
    <x v="66"/>
    <s v="Outpatient Clinic"/>
    <n v="50"/>
    <n v="254"/>
    <n v="0.19685039370078741"/>
  </r>
  <r>
    <x v="36"/>
    <s v="Outpatient Clinic"/>
    <n v="50"/>
    <n v="314"/>
    <n v="0.15923566878980891"/>
  </r>
  <r>
    <x v="89"/>
    <s v="Emergency Dept Storage"/>
    <n v="50"/>
    <n v="454"/>
    <n v="0.11013215859030837"/>
  </r>
  <r>
    <x v="19"/>
    <s v="Emergency Dept Storage"/>
    <n v="50"/>
    <n v="730"/>
    <n v="6.8493150684931503E-2"/>
  </r>
  <r>
    <x v="47"/>
    <s v="South Wing Pharmacy"/>
    <n v="50"/>
    <n v="50"/>
    <n v="1"/>
  </r>
  <r>
    <x v="49"/>
    <s v="South Wing Pharmacy"/>
    <n v="50"/>
    <n v="171"/>
    <n v="0.29239766081871343"/>
  </r>
  <r>
    <x v="71"/>
    <s v="Outpatient Clinic"/>
    <n v="50"/>
    <n v="42"/>
    <n v="1.1904761904761905"/>
  </r>
  <r>
    <x v="13"/>
    <s v="Outpatient Clinic"/>
    <n v="50"/>
    <n v="540"/>
    <n v="9.2592592592592587E-2"/>
  </r>
  <r>
    <x v="79"/>
    <s v="Main Warehouse"/>
    <n v="50"/>
    <n v="675"/>
    <n v="7.407407407407407E-2"/>
  </r>
  <r>
    <x v="38"/>
    <s v="Emergency Dept Storage"/>
    <n v="50"/>
    <n v="135"/>
    <n v="0.37037037037037035"/>
  </r>
  <r>
    <x v="45"/>
    <s v="Outpatient Clinic"/>
    <n v="49"/>
    <n v="234"/>
    <n v="0.20940170940170941"/>
  </r>
  <r>
    <x v="44"/>
    <s v="North Wing Pharmacy"/>
    <n v="49"/>
    <n v="92"/>
    <n v="0.53260869565217395"/>
  </r>
  <r>
    <x v="43"/>
    <s v="Main Warehouse"/>
    <n v="49"/>
    <n v="62"/>
    <n v="0.79032258064516125"/>
  </r>
  <r>
    <x v="76"/>
    <s v="Emergency Dept Storage"/>
    <n v="49"/>
    <n v="14"/>
    <n v="3.5"/>
  </r>
  <r>
    <x v="19"/>
    <s v="Outpatient Clinic"/>
    <n v="49"/>
    <n v="165"/>
    <n v="0.29696969696969699"/>
  </r>
  <r>
    <x v="25"/>
    <s v="Main Warehouse"/>
    <n v="49"/>
    <n v="266"/>
    <n v="0.18421052631578946"/>
  </r>
  <r>
    <x v="38"/>
    <s v="Emergency Dept Storage"/>
    <n v="49"/>
    <n v="49"/>
    <n v="1"/>
  </r>
  <r>
    <x v="51"/>
    <s v="North Wing Pharmacy"/>
    <n v="49"/>
    <n v="667"/>
    <n v="7.3463268365817097E-2"/>
  </r>
  <r>
    <x v="46"/>
    <s v="Main Warehouse"/>
    <n v="49"/>
    <n v="73"/>
    <n v="0.67123287671232879"/>
  </r>
  <r>
    <x v="30"/>
    <s v="South Wing Pharmacy"/>
    <n v="48"/>
    <n v="112"/>
    <n v="0.42857142857142855"/>
  </r>
  <r>
    <x v="59"/>
    <s v="North Wing Pharmacy"/>
    <n v="48"/>
    <n v="63"/>
    <n v="0.76190476190476186"/>
  </r>
  <r>
    <x v="16"/>
    <s v="South Wing Pharmacy"/>
    <n v="48"/>
    <n v="97"/>
    <n v="0.49484536082474229"/>
  </r>
  <r>
    <x v="53"/>
    <s v="North Wing Pharmacy"/>
    <n v="48"/>
    <n v="2"/>
    <n v="24"/>
  </r>
  <r>
    <x v="87"/>
    <s v="Main Warehouse"/>
    <n v="48"/>
    <n v="624"/>
    <n v="7.6923076923076927E-2"/>
  </r>
  <r>
    <x v="67"/>
    <s v="Emergency Dept Storage"/>
    <n v="48"/>
    <n v="448"/>
    <n v="0.10714285714285714"/>
  </r>
  <r>
    <x v="30"/>
    <s v="Outpatient Clinic"/>
    <n v="48"/>
    <n v="434"/>
    <n v="0.11059907834101382"/>
  </r>
  <r>
    <x v="55"/>
    <s v="Main Warehouse"/>
    <n v="48"/>
    <n v="753"/>
    <n v="6.3745019920318724E-2"/>
  </r>
  <r>
    <x v="12"/>
    <s v="North Wing Pharmacy"/>
    <n v="48"/>
    <n v="9"/>
    <n v="5.333333333333333"/>
  </r>
  <r>
    <x v="59"/>
    <s v="Emergency Dept Storage"/>
    <n v="48"/>
    <n v="147"/>
    <n v="0.32653061224489793"/>
  </r>
  <r>
    <x v="7"/>
    <s v="Outpatient Clinic"/>
    <n v="48"/>
    <n v="144"/>
    <n v="0.33333333333333331"/>
  </r>
  <r>
    <x v="91"/>
    <s v="Main Warehouse"/>
    <n v="47"/>
    <n v="948"/>
    <n v="4.9578059071729956E-2"/>
  </r>
  <r>
    <x v="30"/>
    <s v="Main Warehouse"/>
    <n v="47"/>
    <n v="462"/>
    <n v="0.10173160173160173"/>
  </r>
  <r>
    <x v="73"/>
    <s v="Outpatient Clinic"/>
    <n v="47"/>
    <n v="378"/>
    <n v="0.12433862433862433"/>
  </r>
  <r>
    <x v="90"/>
    <s v="Emergency Dept Storage"/>
    <n v="47"/>
    <n v="288"/>
    <n v="0.16319444444444445"/>
  </r>
  <r>
    <x v="49"/>
    <s v="Outpatient Clinic"/>
    <n v="47"/>
    <n v="69"/>
    <n v="0.6811594202898551"/>
  </r>
  <r>
    <x v="60"/>
    <s v="Outpatient Clinic"/>
    <n v="47"/>
    <n v="523"/>
    <n v="8.9866156787762913E-2"/>
  </r>
  <r>
    <x v="55"/>
    <s v="Emergency Dept Storage"/>
    <n v="47"/>
    <n v="35"/>
    <n v="1.342857142857143"/>
  </r>
  <r>
    <x v="10"/>
    <s v="Emergency Dept Storage"/>
    <n v="47"/>
    <n v="92"/>
    <n v="0.51086956521739135"/>
  </r>
  <r>
    <x v="66"/>
    <s v="Emergency Dept Storage"/>
    <n v="47"/>
    <n v="540"/>
    <n v="8.7037037037037038E-2"/>
  </r>
  <r>
    <x v="18"/>
    <s v="South Wing Pharmacy"/>
    <n v="47"/>
    <n v="119"/>
    <n v="0.3949579831932773"/>
  </r>
  <r>
    <x v="71"/>
    <s v="South Wing Pharmacy"/>
    <n v="47"/>
    <n v="69"/>
    <n v="0.6811594202898551"/>
  </r>
  <r>
    <x v="43"/>
    <s v="South Wing Pharmacy"/>
    <n v="47"/>
    <n v="31"/>
    <n v="1.5161290322580645"/>
  </r>
  <r>
    <x v="11"/>
    <s v="Main Warehouse"/>
    <n v="47"/>
    <n v="690"/>
    <n v="6.8115942028985507E-2"/>
  </r>
  <r>
    <x v="71"/>
    <s v="North Wing Pharmacy"/>
    <n v="47"/>
    <n v="52"/>
    <n v="0.90384615384615385"/>
  </r>
  <r>
    <x v="77"/>
    <s v="Outpatient Clinic"/>
    <n v="47"/>
    <n v="154"/>
    <n v="0.30519480519480519"/>
  </r>
  <r>
    <x v="25"/>
    <s v="Outpatient Clinic"/>
    <n v="47"/>
    <n v="222"/>
    <n v="0.21171171171171171"/>
  </r>
  <r>
    <x v="0"/>
    <s v="North Wing Pharmacy"/>
    <n v="47"/>
    <n v="136"/>
    <n v="0.34558823529411764"/>
  </r>
  <r>
    <x v="50"/>
    <s v="North Wing Pharmacy"/>
    <n v="47"/>
    <n v="223"/>
    <n v="0.21076233183856502"/>
  </r>
  <r>
    <x v="42"/>
    <s v="Main Warehouse"/>
    <n v="47"/>
    <n v="62"/>
    <n v="0.75806451612903225"/>
  </r>
  <r>
    <x v="57"/>
    <s v="Main Warehouse"/>
    <n v="47"/>
    <n v="207"/>
    <n v="0.22705314009661837"/>
  </r>
  <r>
    <x v="17"/>
    <s v="Main Warehouse"/>
    <n v="47"/>
    <n v="484"/>
    <n v="9.7107438016528921E-2"/>
  </r>
  <r>
    <x v="0"/>
    <s v="Outpatient Clinic"/>
    <n v="47"/>
    <n v="608"/>
    <n v="7.7302631578947373E-2"/>
  </r>
  <r>
    <x v="63"/>
    <s v="Emergency Dept Storage"/>
    <n v="46"/>
    <n v="175"/>
    <n v="0.26285714285714284"/>
  </r>
  <r>
    <x v="38"/>
    <s v="Emergency Dept Storage"/>
    <n v="46"/>
    <n v="708"/>
    <n v="6.4971751412429377E-2"/>
  </r>
  <r>
    <x v="41"/>
    <s v="North Wing Pharmacy"/>
    <n v="46"/>
    <n v="505"/>
    <n v="9.1089108910891087E-2"/>
  </r>
  <r>
    <x v="24"/>
    <s v="Emergency Dept Storage"/>
    <n v="46"/>
    <n v="775"/>
    <n v="5.9354838709677421E-2"/>
  </r>
  <r>
    <x v="17"/>
    <s v="Main Warehouse"/>
    <n v="46"/>
    <n v="282"/>
    <n v="0.16312056737588651"/>
  </r>
  <r>
    <x v="81"/>
    <s v="South Wing Pharmacy"/>
    <n v="46"/>
    <n v="52"/>
    <n v="0.88461538461538458"/>
  </r>
  <r>
    <x v="33"/>
    <s v="South Wing Pharmacy"/>
    <n v="46"/>
    <n v="215"/>
    <n v="0.21395348837209302"/>
  </r>
  <r>
    <x v="58"/>
    <s v="South Wing Pharmacy"/>
    <n v="46"/>
    <n v="546"/>
    <n v="8.4249084249084255E-2"/>
  </r>
  <r>
    <x v="92"/>
    <s v="Outpatient Clinic"/>
    <n v="46"/>
    <n v="701"/>
    <n v="6.5620542082738945E-2"/>
  </r>
  <r>
    <x v="65"/>
    <s v="South Wing Pharmacy"/>
    <n v="46"/>
    <n v="633"/>
    <n v="7.266982622432859E-2"/>
  </r>
  <r>
    <x v="97"/>
    <s v="South Wing Pharmacy"/>
    <n v="46"/>
    <n v="177"/>
    <n v="0.25988700564971751"/>
  </r>
  <r>
    <x v="67"/>
    <s v="Main Warehouse"/>
    <n v="45"/>
    <n v="201"/>
    <n v="0.22388059701492538"/>
  </r>
  <r>
    <x v="68"/>
    <s v="Emergency Dept Storage"/>
    <n v="45"/>
    <n v="63"/>
    <n v="0.7142857142857143"/>
  </r>
  <r>
    <x v="23"/>
    <s v="Emergency Dept Storage"/>
    <n v="45"/>
    <n v="70"/>
    <n v="0.6428571428571429"/>
  </r>
  <r>
    <x v="98"/>
    <s v="South Wing Pharmacy"/>
    <n v="45"/>
    <n v="152"/>
    <n v="0.29605263157894735"/>
  </r>
  <r>
    <x v="43"/>
    <s v="South Wing Pharmacy"/>
    <n v="45"/>
    <n v="909"/>
    <n v="4.9504950495049507E-2"/>
  </r>
  <r>
    <x v="80"/>
    <s v="North Wing Pharmacy"/>
    <n v="45"/>
    <n v="52"/>
    <n v="0.86538461538461542"/>
  </r>
  <r>
    <x v="93"/>
    <s v="South Wing Pharmacy"/>
    <n v="45"/>
    <n v="304"/>
    <n v="0.14802631578947367"/>
  </r>
  <r>
    <x v="71"/>
    <s v="North Wing Pharmacy"/>
    <n v="45"/>
    <n v="162"/>
    <n v="0.27777777777777779"/>
  </r>
  <r>
    <x v="18"/>
    <s v="Emergency Dept Storage"/>
    <n v="45"/>
    <n v="137"/>
    <n v="0.32846715328467152"/>
  </r>
  <r>
    <x v="47"/>
    <s v="Main Warehouse"/>
    <n v="45"/>
    <n v="51"/>
    <n v="0.88235294117647056"/>
  </r>
  <r>
    <x v="89"/>
    <s v="South Wing Pharmacy"/>
    <n v="45"/>
    <n v="40"/>
    <n v="1.125"/>
  </r>
  <r>
    <x v="57"/>
    <s v="Outpatient Clinic"/>
    <n v="45"/>
    <n v="82"/>
    <n v="0.54878048780487809"/>
  </r>
  <r>
    <x v="12"/>
    <s v="South Wing Pharmacy"/>
    <n v="45"/>
    <n v="252"/>
    <n v="0.17857142857142858"/>
  </r>
  <r>
    <x v="82"/>
    <s v="Outpatient Clinic"/>
    <n v="45"/>
    <n v="51"/>
    <n v="0.88235294117647056"/>
  </r>
  <r>
    <x v="77"/>
    <s v="South Wing Pharmacy"/>
    <n v="45"/>
    <n v="106"/>
    <n v="0.42452830188679247"/>
  </r>
  <r>
    <x v="60"/>
    <s v="Outpatient Clinic"/>
    <n v="45"/>
    <n v="71"/>
    <n v="0.63380281690140849"/>
  </r>
  <r>
    <x v="69"/>
    <s v="North Wing Pharmacy"/>
    <n v="44"/>
    <n v="61"/>
    <n v="0.72131147540983609"/>
  </r>
  <r>
    <x v="22"/>
    <s v="Main Warehouse"/>
    <n v="44"/>
    <n v="392"/>
    <n v="0.11224489795918367"/>
  </r>
  <r>
    <x v="75"/>
    <s v="Outpatient Clinic"/>
    <n v="44"/>
    <n v="306"/>
    <n v="0.1437908496732026"/>
  </r>
  <r>
    <x v="38"/>
    <s v="South Wing Pharmacy"/>
    <n v="44"/>
    <n v="326"/>
    <n v="0.13496932515337423"/>
  </r>
  <r>
    <x v="74"/>
    <s v="Emergency Dept Storage"/>
    <n v="44"/>
    <n v="41"/>
    <n v="1.0731707317073171"/>
  </r>
  <r>
    <x v="27"/>
    <s v="Main Warehouse"/>
    <n v="44"/>
    <n v="419"/>
    <n v="0.10501193317422435"/>
  </r>
  <r>
    <x v="92"/>
    <s v="North Wing Pharmacy"/>
    <n v="44"/>
    <n v="177"/>
    <n v="0.24858757062146894"/>
  </r>
  <r>
    <x v="76"/>
    <s v="Emergency Dept Storage"/>
    <n v="44"/>
    <n v="12"/>
    <n v="3.6666666666666665"/>
  </r>
  <r>
    <x v="12"/>
    <s v="North Wing Pharmacy"/>
    <n v="44"/>
    <n v="264"/>
    <n v="0.16666666666666666"/>
  </r>
  <r>
    <x v="1"/>
    <s v="Emergency Dept Storage"/>
    <n v="43"/>
    <n v="120"/>
    <n v="0.35833333333333334"/>
  </r>
  <r>
    <x v="70"/>
    <s v="Emergency Dept Storage"/>
    <n v="43"/>
    <n v="27"/>
    <n v="1.5925925925925926"/>
  </r>
  <r>
    <x v="33"/>
    <s v="South Wing Pharmacy"/>
    <n v="43"/>
    <n v="183"/>
    <n v="0.23497267759562843"/>
  </r>
  <r>
    <x v="98"/>
    <s v="Outpatient Clinic"/>
    <n v="43"/>
    <n v="63"/>
    <n v="0.68253968253968256"/>
  </r>
  <r>
    <x v="85"/>
    <s v="South Wing Pharmacy"/>
    <n v="43"/>
    <n v="165"/>
    <n v="0.26060606060606062"/>
  </r>
  <r>
    <x v="19"/>
    <s v="Outpatient Clinic"/>
    <n v="43"/>
    <n v="227"/>
    <n v="0.1894273127753304"/>
  </r>
  <r>
    <x v="69"/>
    <s v="Main Warehouse"/>
    <n v="43"/>
    <n v="53"/>
    <n v="0.81132075471698117"/>
  </r>
  <r>
    <x v="31"/>
    <s v="Emergency Dept Storage"/>
    <n v="43"/>
    <n v="589"/>
    <n v="7.3005093378607805E-2"/>
  </r>
  <r>
    <x v="70"/>
    <s v="Outpatient Clinic"/>
    <n v="43"/>
    <n v="263"/>
    <n v="0.1634980988593156"/>
  </r>
  <r>
    <x v="59"/>
    <s v="Outpatient Clinic"/>
    <n v="43"/>
    <n v="461"/>
    <n v="9.3275488069414311E-2"/>
  </r>
  <r>
    <x v="87"/>
    <s v="North Wing Pharmacy"/>
    <n v="43"/>
    <n v="132"/>
    <n v="0.32575757575757575"/>
  </r>
  <r>
    <x v="6"/>
    <s v="Outpatient Clinic"/>
    <n v="43"/>
    <n v="8"/>
    <n v="5.375"/>
  </r>
  <r>
    <x v="92"/>
    <s v="Emergency Dept Storage"/>
    <n v="43"/>
    <n v="128"/>
    <n v="0.3359375"/>
  </r>
  <r>
    <x v="95"/>
    <s v="Outpatient Clinic"/>
    <n v="43"/>
    <n v="104"/>
    <n v="0.41346153846153844"/>
  </r>
  <r>
    <x v="72"/>
    <s v="Emergency Dept Storage"/>
    <n v="43"/>
    <n v="9"/>
    <n v="4.7777777777777777"/>
  </r>
  <r>
    <x v="96"/>
    <s v="Outpatient Clinic"/>
    <n v="43"/>
    <n v="104"/>
    <n v="0.41346153846153844"/>
  </r>
  <r>
    <x v="40"/>
    <s v="Emergency Dept Storage"/>
    <n v="43"/>
    <n v="163"/>
    <n v="0.26380368098159507"/>
  </r>
  <r>
    <x v="10"/>
    <s v="North Wing Pharmacy"/>
    <n v="43"/>
    <n v="163"/>
    <n v="0.26380368098159507"/>
  </r>
  <r>
    <x v="44"/>
    <s v="North Wing Pharmacy"/>
    <n v="43"/>
    <n v="186"/>
    <n v="0.23118279569892472"/>
  </r>
  <r>
    <x v="97"/>
    <s v="Outpatient Clinic"/>
    <n v="43"/>
    <n v="784"/>
    <n v="5.4846938775510203E-2"/>
  </r>
  <r>
    <x v="12"/>
    <s v="North Wing Pharmacy"/>
    <n v="43"/>
    <n v="494"/>
    <n v="8.7044534412955468E-2"/>
  </r>
  <r>
    <x v="99"/>
    <s v="Emergency Dept Storage"/>
    <n v="42"/>
    <n v="497"/>
    <n v="8.4507042253521125E-2"/>
  </r>
  <r>
    <x v="1"/>
    <s v="South Wing Pharmacy"/>
    <n v="42"/>
    <n v="637"/>
    <n v="6.5934065934065936E-2"/>
  </r>
  <r>
    <x v="76"/>
    <s v="Outpatient Clinic"/>
    <n v="42"/>
    <n v="270"/>
    <n v="0.15555555555555556"/>
  </r>
  <r>
    <x v="64"/>
    <s v="North Wing Pharmacy"/>
    <n v="42"/>
    <n v="241"/>
    <n v="0.17427385892116182"/>
  </r>
  <r>
    <x v="44"/>
    <s v="Emergency Dept Storage"/>
    <n v="42"/>
    <n v="136"/>
    <n v="0.30882352941176472"/>
  </r>
  <r>
    <x v="93"/>
    <s v="Emergency Dept Storage"/>
    <n v="42"/>
    <n v="113"/>
    <n v="0.37168141592920356"/>
  </r>
  <r>
    <x v="69"/>
    <s v="Outpatient Clinic"/>
    <n v="42"/>
    <n v="119"/>
    <n v="0.35294117647058826"/>
  </r>
  <r>
    <x v="61"/>
    <s v="Emergency Dept Storage"/>
    <n v="42"/>
    <n v="25"/>
    <n v="1.68"/>
  </r>
  <r>
    <x v="27"/>
    <s v="North Wing Pharmacy"/>
    <n v="42"/>
    <n v="571"/>
    <n v="7.3555166374781086E-2"/>
  </r>
  <r>
    <x v="16"/>
    <s v="Outpatient Clinic"/>
    <n v="42"/>
    <n v="515"/>
    <n v="8.155339805825243E-2"/>
  </r>
  <r>
    <x v="8"/>
    <s v="Outpatient Clinic"/>
    <n v="42"/>
    <n v="563"/>
    <n v="7.460035523978685E-2"/>
  </r>
  <r>
    <x v="25"/>
    <s v="Outpatient Clinic"/>
    <n v="42"/>
    <n v="399"/>
    <n v="0.10526315789473684"/>
  </r>
  <r>
    <x v="99"/>
    <s v="North Wing Pharmacy"/>
    <n v="42"/>
    <n v="541"/>
    <n v="7.763401109057301E-2"/>
  </r>
  <r>
    <x v="0"/>
    <s v="South Wing Pharmacy"/>
    <n v="42"/>
    <n v="27"/>
    <n v="1.5555555555555556"/>
  </r>
  <r>
    <x v="75"/>
    <s v="Outpatient Clinic"/>
    <n v="42"/>
    <n v="264"/>
    <n v="0.15909090909090909"/>
  </r>
  <r>
    <x v="53"/>
    <s v="North Wing Pharmacy"/>
    <n v="42"/>
    <n v="444"/>
    <n v="9.45945945945946E-2"/>
  </r>
  <r>
    <x v="14"/>
    <s v="Main Warehouse"/>
    <n v="41"/>
    <n v="284"/>
    <n v="0.14436619718309859"/>
  </r>
  <r>
    <x v="42"/>
    <s v="North Wing Pharmacy"/>
    <n v="41"/>
    <n v="273"/>
    <n v="0.15018315018315018"/>
  </r>
  <r>
    <x v="35"/>
    <s v="Main Warehouse"/>
    <n v="41"/>
    <n v="234"/>
    <n v="0.1752136752136752"/>
  </r>
  <r>
    <x v="18"/>
    <s v="Emergency Dept Storage"/>
    <n v="41"/>
    <n v="108"/>
    <n v="0.37962962962962965"/>
  </r>
  <r>
    <x v="72"/>
    <s v="North Wing Pharmacy"/>
    <n v="41"/>
    <n v="486"/>
    <n v="8.4362139917695478E-2"/>
  </r>
  <r>
    <x v="89"/>
    <s v="South Wing Pharmacy"/>
    <n v="41"/>
    <n v="135"/>
    <n v="0.3037037037037037"/>
  </r>
  <r>
    <x v="69"/>
    <s v="Main Warehouse"/>
    <n v="41"/>
    <n v="697"/>
    <n v="5.8823529411764705E-2"/>
  </r>
  <r>
    <x v="55"/>
    <s v="Outpatient Clinic"/>
    <n v="41"/>
    <n v="224"/>
    <n v="0.18303571428571427"/>
  </r>
  <r>
    <x v="19"/>
    <s v="North Wing Pharmacy"/>
    <n v="41"/>
    <n v="339"/>
    <n v="0.12094395280235988"/>
  </r>
  <r>
    <x v="0"/>
    <s v="Emergency Dept Storage"/>
    <n v="41"/>
    <n v="246"/>
    <n v="0.16666666666666666"/>
  </r>
  <r>
    <x v="91"/>
    <s v="South Wing Pharmacy"/>
    <n v="41"/>
    <n v="936"/>
    <n v="4.38034188034188E-2"/>
  </r>
  <r>
    <x v="42"/>
    <s v="Emergency Dept Storage"/>
    <n v="41"/>
    <n v="55"/>
    <n v="0.74545454545454548"/>
  </r>
  <r>
    <x v="18"/>
    <s v="Outpatient Clinic"/>
    <n v="41"/>
    <n v="258"/>
    <n v="0.15891472868217055"/>
  </r>
  <r>
    <x v="96"/>
    <s v="Outpatient Clinic"/>
    <n v="40"/>
    <n v="834"/>
    <n v="4.7961630695443645E-2"/>
  </r>
  <r>
    <x v="57"/>
    <s v="Outpatient Clinic"/>
    <n v="40"/>
    <n v="603"/>
    <n v="6.633499170812604E-2"/>
  </r>
  <r>
    <x v="71"/>
    <s v="South Wing Pharmacy"/>
    <n v="40"/>
    <n v="436"/>
    <n v="9.1743119266055051E-2"/>
  </r>
  <r>
    <x v="36"/>
    <s v="Outpatient Clinic"/>
    <n v="40"/>
    <n v="436"/>
    <n v="9.1743119266055051E-2"/>
  </r>
  <r>
    <x v="22"/>
    <s v="Emergency Dept Storage"/>
    <n v="40"/>
    <n v="47"/>
    <n v="0.85106382978723405"/>
  </r>
  <r>
    <x v="67"/>
    <s v="Emergency Dept Storage"/>
    <n v="40"/>
    <n v="385"/>
    <n v="0.1038961038961039"/>
  </r>
  <r>
    <x v="58"/>
    <s v="Outpatient Clinic"/>
    <n v="40"/>
    <n v="717"/>
    <n v="5.5788005578800558E-2"/>
  </r>
  <r>
    <x v="35"/>
    <s v="South Wing Pharmacy"/>
    <n v="40"/>
    <n v="41"/>
    <n v="0.97560975609756095"/>
  </r>
  <r>
    <x v="22"/>
    <s v="South Wing Pharmacy"/>
    <n v="40"/>
    <n v="161"/>
    <n v="0.2484472049689441"/>
  </r>
  <r>
    <x v="93"/>
    <s v="Emergency Dept Storage"/>
    <n v="40"/>
    <n v="341"/>
    <n v="0.11730205278592375"/>
  </r>
  <r>
    <x v="99"/>
    <s v="South Wing Pharmacy"/>
    <n v="40"/>
    <n v="225"/>
    <n v="0.17777777777777778"/>
  </r>
  <r>
    <x v="6"/>
    <s v="Outpatient Clinic"/>
    <n v="40"/>
    <n v="307"/>
    <n v="0.13029315960912052"/>
  </r>
  <r>
    <x v="4"/>
    <s v="South Wing Pharmacy"/>
    <n v="40"/>
    <n v="279"/>
    <n v="0.14336917562724014"/>
  </r>
  <r>
    <x v="98"/>
    <s v="South Wing Pharmacy"/>
    <n v="40"/>
    <n v="43"/>
    <n v="0.93023255813953487"/>
  </r>
  <r>
    <x v="92"/>
    <s v="South Wing Pharmacy"/>
    <n v="40"/>
    <n v="144"/>
    <n v="0.27777777777777779"/>
  </r>
  <r>
    <x v="36"/>
    <s v="South Wing Pharmacy"/>
    <n v="39"/>
    <n v="131"/>
    <n v="0.29770992366412213"/>
  </r>
  <r>
    <x v="96"/>
    <s v="Main Warehouse"/>
    <n v="39"/>
    <n v="193"/>
    <n v="0.20207253886010362"/>
  </r>
  <r>
    <x v="23"/>
    <s v="South Wing Pharmacy"/>
    <n v="39"/>
    <n v="435"/>
    <n v="8.9655172413793102E-2"/>
  </r>
  <r>
    <x v="28"/>
    <s v="Main Warehouse"/>
    <n v="39"/>
    <n v="334"/>
    <n v="0.11676646706586827"/>
  </r>
  <r>
    <x v="38"/>
    <s v="Main Warehouse"/>
    <n v="39"/>
    <n v="55"/>
    <n v="0.70909090909090911"/>
  </r>
  <r>
    <x v="14"/>
    <s v="Outpatient Clinic"/>
    <n v="39"/>
    <n v="31"/>
    <n v="1.2580645161290323"/>
  </r>
  <r>
    <x v="15"/>
    <s v="North Wing Pharmacy"/>
    <n v="39"/>
    <n v="325"/>
    <n v="0.12"/>
  </r>
  <r>
    <x v="77"/>
    <s v="North Wing Pharmacy"/>
    <n v="39"/>
    <n v="28"/>
    <n v="1.3928571428571428"/>
  </r>
  <r>
    <x v="50"/>
    <s v="Emergency Dept Storage"/>
    <n v="39"/>
    <n v="215"/>
    <n v="0.18139534883720931"/>
  </r>
  <r>
    <x v="86"/>
    <s v="Main Warehouse"/>
    <n v="39"/>
    <n v="117"/>
    <n v="0.33333333333333331"/>
  </r>
  <r>
    <x v="48"/>
    <s v="Emergency Dept Storage"/>
    <n v="39"/>
    <n v="349"/>
    <n v="0.11174785100286533"/>
  </r>
  <r>
    <x v="83"/>
    <s v="South Wing Pharmacy"/>
    <n v="39"/>
    <n v="848"/>
    <n v="4.5990566037735846E-2"/>
  </r>
  <r>
    <x v="98"/>
    <s v="North Wing Pharmacy"/>
    <n v="39"/>
    <n v="278"/>
    <n v="0.14028776978417265"/>
  </r>
  <r>
    <x v="18"/>
    <s v="Emergency Dept Storage"/>
    <n v="38"/>
    <n v="202"/>
    <n v="0.18811881188118812"/>
  </r>
  <r>
    <x v="93"/>
    <s v="North Wing Pharmacy"/>
    <n v="38"/>
    <n v="40"/>
    <n v="0.95"/>
  </r>
  <r>
    <x v="41"/>
    <s v="Emergency Dept Storage"/>
    <n v="38"/>
    <n v="65"/>
    <n v="0.58461538461538465"/>
  </r>
  <r>
    <x v="72"/>
    <s v="Emergency Dept Storage"/>
    <n v="38"/>
    <n v="2"/>
    <n v="19"/>
  </r>
  <r>
    <x v="35"/>
    <s v="Emergency Dept Storage"/>
    <n v="38"/>
    <n v="378"/>
    <n v="0.10052910052910052"/>
  </r>
  <r>
    <x v="54"/>
    <s v="Outpatient Clinic"/>
    <n v="38"/>
    <n v="100"/>
    <n v="0.38"/>
  </r>
  <r>
    <x v="79"/>
    <s v="Emergency Dept Storage"/>
    <n v="38"/>
    <n v="91"/>
    <n v="0.4175824175824176"/>
  </r>
  <r>
    <x v="15"/>
    <s v="Main Warehouse"/>
    <n v="38"/>
    <n v="238"/>
    <n v="0.15966386554621848"/>
  </r>
  <r>
    <x v="28"/>
    <s v="Outpatient Clinic"/>
    <n v="38"/>
    <n v="248"/>
    <n v="0.15322580645161291"/>
  </r>
  <r>
    <x v="38"/>
    <s v="Outpatient Clinic"/>
    <n v="38"/>
    <n v="522"/>
    <n v="7.2796934865900387E-2"/>
  </r>
  <r>
    <x v="18"/>
    <s v="North Wing Pharmacy"/>
    <n v="38"/>
    <n v="127"/>
    <n v="0.29921259842519687"/>
  </r>
  <r>
    <x v="15"/>
    <s v="North Wing Pharmacy"/>
    <n v="37"/>
    <n v="17"/>
    <n v="2.1764705882352939"/>
  </r>
  <r>
    <x v="6"/>
    <s v="Main Warehouse"/>
    <n v="37"/>
    <n v="174"/>
    <n v="0.21264367816091953"/>
  </r>
  <r>
    <x v="90"/>
    <s v="South Wing Pharmacy"/>
    <n v="37"/>
    <n v="102"/>
    <n v="0.36274509803921567"/>
  </r>
  <r>
    <x v="97"/>
    <s v="North Wing Pharmacy"/>
    <n v="37"/>
    <n v="453"/>
    <n v="8.1677704194260486E-2"/>
  </r>
  <r>
    <x v="57"/>
    <s v="Main Warehouse"/>
    <n v="37"/>
    <n v="158"/>
    <n v="0.23417721518987342"/>
  </r>
  <r>
    <x v="28"/>
    <s v="Outpatient Clinic"/>
    <n v="37"/>
    <n v="321"/>
    <n v="0.11526479750778816"/>
  </r>
  <r>
    <x v="60"/>
    <s v="South Wing Pharmacy"/>
    <n v="37"/>
    <n v="125"/>
    <n v="0.29599999999999999"/>
  </r>
  <r>
    <x v="51"/>
    <s v="Outpatient Clinic"/>
    <n v="37"/>
    <n v="32"/>
    <n v="1.15625"/>
  </r>
  <r>
    <x v="28"/>
    <s v="Emergency Dept Storage"/>
    <n v="37"/>
    <n v="23"/>
    <n v="1.6086956521739131"/>
  </r>
  <r>
    <x v="99"/>
    <s v="Outpatient Clinic"/>
    <n v="37"/>
    <n v="93"/>
    <n v="0.39784946236559138"/>
  </r>
  <r>
    <x v="57"/>
    <s v="Emergency Dept Storage"/>
    <n v="37"/>
    <n v="232"/>
    <n v="0.15948275862068967"/>
  </r>
  <r>
    <x v="89"/>
    <s v="Main Warehouse"/>
    <n v="36"/>
    <n v="18"/>
    <n v="2"/>
  </r>
  <r>
    <x v="44"/>
    <s v="North Wing Pharmacy"/>
    <n v="36"/>
    <n v="122"/>
    <n v="0.29508196721311475"/>
  </r>
  <r>
    <x v="88"/>
    <s v="Main Warehouse"/>
    <n v="36"/>
    <n v="118"/>
    <n v="0.30508474576271188"/>
  </r>
  <r>
    <x v="56"/>
    <s v="Emergency Dept Storage"/>
    <n v="36"/>
    <n v="497"/>
    <n v="7.2434607645875254E-2"/>
  </r>
  <r>
    <x v="90"/>
    <s v="North Wing Pharmacy"/>
    <n v="36"/>
    <n v="19"/>
    <n v="1.8947368421052633"/>
  </r>
  <r>
    <x v="27"/>
    <s v="Outpatient Clinic"/>
    <n v="36"/>
    <n v="144"/>
    <n v="0.25"/>
  </r>
  <r>
    <x v="65"/>
    <s v="Emergency Dept Storage"/>
    <n v="36"/>
    <n v="5"/>
    <n v="7.2"/>
  </r>
  <r>
    <x v="33"/>
    <s v="Emergency Dept Storage"/>
    <n v="36"/>
    <n v="34"/>
    <n v="1.0588235294117647"/>
  </r>
  <r>
    <x v="87"/>
    <s v="South Wing Pharmacy"/>
    <n v="36"/>
    <n v="423"/>
    <n v="8.5106382978723402E-2"/>
  </r>
  <r>
    <x v="14"/>
    <s v="Emergency Dept Storage"/>
    <n v="36"/>
    <n v="34"/>
    <n v="1.0588235294117647"/>
  </r>
  <r>
    <x v="46"/>
    <s v="North Wing Pharmacy"/>
    <n v="35"/>
    <n v="157"/>
    <n v="0.22292993630573249"/>
  </r>
  <r>
    <x v="76"/>
    <s v="Emergency Dept Storage"/>
    <n v="35"/>
    <n v="149"/>
    <n v="0.2348993288590604"/>
  </r>
  <r>
    <x v="4"/>
    <s v="South Wing Pharmacy"/>
    <n v="35"/>
    <n v="308"/>
    <n v="0.11363636363636363"/>
  </r>
  <r>
    <x v="34"/>
    <s v="Outpatient Clinic"/>
    <n v="35"/>
    <n v="564"/>
    <n v="6.2056737588652482E-2"/>
  </r>
  <r>
    <x v="71"/>
    <s v="Outpatient Clinic"/>
    <n v="35"/>
    <n v="239"/>
    <n v="0.14644351464435146"/>
  </r>
  <r>
    <x v="74"/>
    <s v="North Wing Pharmacy"/>
    <n v="35"/>
    <n v="164"/>
    <n v="0.21341463414634146"/>
  </r>
  <r>
    <x v="76"/>
    <s v="North Wing Pharmacy"/>
    <n v="35"/>
    <n v="330"/>
    <n v="0.10606060606060606"/>
  </r>
  <r>
    <x v="89"/>
    <s v="Emergency Dept Storage"/>
    <n v="34"/>
    <n v="328"/>
    <n v="0.10365853658536585"/>
  </r>
  <r>
    <x v="45"/>
    <s v="Emergency Dept Storage"/>
    <n v="34"/>
    <n v="937"/>
    <n v="3.6286019210245463E-2"/>
  </r>
  <r>
    <x v="65"/>
    <s v="North Wing Pharmacy"/>
    <n v="34"/>
    <n v="48"/>
    <n v="0.70833333333333337"/>
  </r>
  <r>
    <x v="63"/>
    <s v="Emergency Dept Storage"/>
    <n v="34"/>
    <n v="117"/>
    <n v="0.29059829059829062"/>
  </r>
  <r>
    <x v="88"/>
    <s v="North Wing Pharmacy"/>
    <n v="34"/>
    <n v="139"/>
    <n v="0.2446043165467626"/>
  </r>
  <r>
    <x v="5"/>
    <s v="Emergency Dept Storage"/>
    <n v="34"/>
    <n v="18"/>
    <n v="1.8888888888888888"/>
  </r>
  <r>
    <x v="1"/>
    <s v="North Wing Pharmacy"/>
    <n v="34"/>
    <n v="222"/>
    <n v="0.15315315315315314"/>
  </r>
  <r>
    <x v="4"/>
    <s v="South Wing Pharmacy"/>
    <n v="33"/>
    <n v="36"/>
    <n v="0.91666666666666663"/>
  </r>
  <r>
    <x v="0"/>
    <s v="Outpatient Clinic"/>
    <n v="33"/>
    <n v="277"/>
    <n v="0.11913357400722022"/>
  </r>
  <r>
    <x v="26"/>
    <s v="South Wing Pharmacy"/>
    <n v="33"/>
    <n v="615"/>
    <n v="5.3658536585365853E-2"/>
  </r>
  <r>
    <x v="36"/>
    <s v="Outpatient Clinic"/>
    <n v="33"/>
    <n v="243"/>
    <n v="0.13580246913580246"/>
  </r>
  <r>
    <x v="82"/>
    <s v="Emergency Dept Storage"/>
    <n v="33"/>
    <n v="59"/>
    <n v="0.55932203389830504"/>
  </r>
  <r>
    <x v="69"/>
    <s v="Main Warehouse"/>
    <n v="33"/>
    <n v="191"/>
    <n v="0.17277486910994763"/>
  </r>
  <r>
    <x v="72"/>
    <s v="Main Warehouse"/>
    <n v="33"/>
    <n v="509"/>
    <n v="6.4833005893909626E-2"/>
  </r>
  <r>
    <x v="50"/>
    <s v="Outpatient Clinic"/>
    <n v="33"/>
    <n v="471"/>
    <n v="7.0063694267515922E-2"/>
  </r>
  <r>
    <x v="84"/>
    <s v="Outpatient Clinic"/>
    <n v="33"/>
    <n v="55"/>
    <n v="0.6"/>
  </r>
  <r>
    <x v="89"/>
    <s v="Emergency Dept Storage"/>
    <n v="33"/>
    <n v="563"/>
    <n v="5.8614564831261103E-2"/>
  </r>
  <r>
    <x v="65"/>
    <s v="North Wing Pharmacy"/>
    <n v="32"/>
    <n v="79"/>
    <n v="0.4050632911392405"/>
  </r>
  <r>
    <x v="75"/>
    <s v="North Wing Pharmacy"/>
    <n v="32"/>
    <n v="294"/>
    <n v="0.10884353741496598"/>
  </r>
  <r>
    <x v="80"/>
    <s v="Emergency Dept Storage"/>
    <n v="32"/>
    <n v="812"/>
    <n v="3.9408866995073892E-2"/>
  </r>
  <r>
    <x v="31"/>
    <s v="South Wing Pharmacy"/>
    <n v="32"/>
    <n v="193"/>
    <n v="0.16580310880829016"/>
  </r>
  <r>
    <x v="66"/>
    <s v="Outpatient Clinic"/>
    <n v="32"/>
    <n v="710"/>
    <n v="4.507042253521127E-2"/>
  </r>
  <r>
    <x v="55"/>
    <s v="Emergency Dept Storage"/>
    <n v="32"/>
    <n v="751"/>
    <n v="4.2609853528628498E-2"/>
  </r>
  <r>
    <x v="43"/>
    <s v="Main Warehouse"/>
    <n v="32"/>
    <n v="259"/>
    <n v="0.12355212355212356"/>
  </r>
  <r>
    <x v="70"/>
    <s v="Outpatient Clinic"/>
    <n v="32"/>
    <n v="494"/>
    <n v="6.4777327935222673E-2"/>
  </r>
  <r>
    <x v="73"/>
    <s v="Outpatient Clinic"/>
    <n v="32"/>
    <n v="128"/>
    <n v="0.25"/>
  </r>
  <r>
    <x v="9"/>
    <s v="Outpatient Clinic"/>
    <n v="32"/>
    <n v="111"/>
    <n v="0.28828828828828829"/>
  </r>
  <r>
    <x v="49"/>
    <s v="North Wing Pharmacy"/>
    <n v="32"/>
    <n v="218"/>
    <n v="0.14678899082568808"/>
  </r>
  <r>
    <x v="29"/>
    <s v="South Wing Pharmacy"/>
    <n v="32"/>
    <n v="426"/>
    <n v="7.5117370892018781E-2"/>
  </r>
  <r>
    <x v="64"/>
    <s v="Main Warehouse"/>
    <n v="32"/>
    <n v="107"/>
    <n v="0.29906542056074764"/>
  </r>
  <r>
    <x v="0"/>
    <s v="Outpatient Clinic"/>
    <n v="32"/>
    <n v="328"/>
    <n v="9.7560975609756101E-2"/>
  </r>
  <r>
    <x v="45"/>
    <s v="Main Warehouse"/>
    <n v="32"/>
    <n v="478"/>
    <n v="6.6945606694560664E-2"/>
  </r>
  <r>
    <x v="38"/>
    <s v="South Wing Pharmacy"/>
    <n v="31"/>
    <n v="194"/>
    <n v="0.15979381443298968"/>
  </r>
  <r>
    <x v="54"/>
    <s v="Main Warehouse"/>
    <n v="31"/>
    <n v="132"/>
    <n v="0.23484848484848483"/>
  </r>
  <r>
    <x v="8"/>
    <s v="Outpatient Clinic"/>
    <n v="31"/>
    <n v="95"/>
    <n v="0.32631578947368423"/>
  </r>
  <r>
    <x v="95"/>
    <s v="North Wing Pharmacy"/>
    <n v="31"/>
    <n v="120"/>
    <n v="0.25833333333333336"/>
  </r>
  <r>
    <x v="11"/>
    <s v="Main Warehouse"/>
    <n v="31"/>
    <n v="118"/>
    <n v="0.26271186440677968"/>
  </r>
  <r>
    <x v="13"/>
    <s v="South Wing Pharmacy"/>
    <n v="31"/>
    <n v="74"/>
    <n v="0.41891891891891891"/>
  </r>
  <r>
    <x v="8"/>
    <s v="Emergency Dept Storage"/>
    <n v="31"/>
    <n v="218"/>
    <n v="0.14220183486238533"/>
  </r>
  <r>
    <x v="69"/>
    <s v="Outpatient Clinic"/>
    <n v="30"/>
    <n v="323"/>
    <n v="9.2879256965944276E-2"/>
  </r>
  <r>
    <x v="49"/>
    <s v="North Wing Pharmacy"/>
    <n v="30"/>
    <n v="262"/>
    <n v="0.11450381679389313"/>
  </r>
  <r>
    <x v="86"/>
    <s v="Outpatient Clinic"/>
    <n v="30"/>
    <n v="25"/>
    <n v="1.2"/>
  </r>
  <r>
    <x v="37"/>
    <s v="North Wing Pharmacy"/>
    <n v="30"/>
    <n v="127"/>
    <n v="0.23622047244094488"/>
  </r>
  <r>
    <x v="58"/>
    <s v="Main Warehouse"/>
    <n v="30"/>
    <n v="165"/>
    <n v="0.18181818181818182"/>
  </r>
  <r>
    <x v="65"/>
    <s v="Emergency Dept Storage"/>
    <n v="30"/>
    <n v="9"/>
    <n v="3.3333333333333335"/>
  </r>
  <r>
    <x v="98"/>
    <s v="South Wing Pharmacy"/>
    <n v="30"/>
    <n v="87"/>
    <n v="0.34482758620689657"/>
  </r>
  <r>
    <x v="82"/>
    <s v="South Wing Pharmacy"/>
    <n v="30"/>
    <n v="738"/>
    <n v="4.065040650406504E-2"/>
  </r>
  <r>
    <x v="19"/>
    <s v="Outpatient Clinic"/>
    <n v="30"/>
    <n v="217"/>
    <n v="0.13824884792626729"/>
  </r>
  <r>
    <x v="23"/>
    <s v="North Wing Pharmacy"/>
    <n v="30"/>
    <n v="381"/>
    <n v="7.874015748031496E-2"/>
  </r>
  <r>
    <x v="10"/>
    <s v="Emergency Dept Storage"/>
    <n v="30"/>
    <n v="696"/>
    <n v="4.3103448275862072E-2"/>
  </r>
  <r>
    <x v="86"/>
    <s v="South Wing Pharmacy"/>
    <n v="30"/>
    <n v="694"/>
    <n v="4.3227665706051875E-2"/>
  </r>
  <r>
    <x v="29"/>
    <s v="South Wing Pharmacy"/>
    <n v="30"/>
    <n v="133"/>
    <n v="0.22556390977443608"/>
  </r>
  <r>
    <x v="9"/>
    <s v="Outpatient Clinic"/>
    <n v="30"/>
    <n v="118"/>
    <n v="0.25423728813559321"/>
  </r>
  <r>
    <x v="78"/>
    <s v="South Wing Pharmacy"/>
    <n v="30"/>
    <n v="667"/>
    <n v="4.4977511244377814E-2"/>
  </r>
  <r>
    <x v="82"/>
    <s v="Outpatient Clinic"/>
    <n v="30"/>
    <n v="236"/>
    <n v="0.1271186440677966"/>
  </r>
  <r>
    <x v="71"/>
    <s v="North Wing Pharmacy"/>
    <n v="30"/>
    <n v="84"/>
    <n v="0.35714285714285715"/>
  </r>
  <r>
    <x v="1"/>
    <s v="Main Warehouse"/>
    <n v="30"/>
    <n v="48"/>
    <n v="0.625"/>
  </r>
  <r>
    <x v="38"/>
    <s v="Main Warehouse"/>
    <n v="30"/>
    <n v="561"/>
    <n v="5.3475935828877004E-2"/>
  </r>
  <r>
    <x v="41"/>
    <s v="South Wing Pharmacy"/>
    <n v="29"/>
    <n v="171"/>
    <n v="0.16959064327485379"/>
  </r>
  <r>
    <x v="87"/>
    <s v="Main Warehouse"/>
    <n v="29"/>
    <n v="625"/>
    <n v="4.6399999999999997E-2"/>
  </r>
  <r>
    <x v="28"/>
    <s v="Outpatient Clinic"/>
    <n v="29"/>
    <n v="82"/>
    <n v="0.35365853658536583"/>
  </r>
  <r>
    <x v="97"/>
    <s v="Emergency Dept Storage"/>
    <n v="29"/>
    <n v="267"/>
    <n v="0.10861423220973783"/>
  </r>
  <r>
    <x v="3"/>
    <s v="Main Warehouse"/>
    <n v="29"/>
    <n v="216"/>
    <n v="0.13425925925925927"/>
  </r>
  <r>
    <x v="29"/>
    <s v="Main Warehouse"/>
    <n v="29"/>
    <n v="221"/>
    <n v="0.13122171945701358"/>
  </r>
  <r>
    <x v="79"/>
    <s v="South Wing Pharmacy"/>
    <n v="29"/>
    <n v="523"/>
    <n v="5.5449330783938815E-2"/>
  </r>
  <r>
    <x v="78"/>
    <s v="Emergency Dept Storage"/>
    <n v="29"/>
    <n v="133"/>
    <n v="0.21804511278195488"/>
  </r>
  <r>
    <x v="72"/>
    <s v="Emergency Dept Storage"/>
    <n v="29"/>
    <n v="405"/>
    <n v="7.160493827160494E-2"/>
  </r>
  <r>
    <x v="19"/>
    <s v="South Wing Pharmacy"/>
    <n v="29"/>
    <n v="357"/>
    <n v="8.1232492997198882E-2"/>
  </r>
  <r>
    <x v="48"/>
    <s v="Outpatient Clinic"/>
    <n v="29"/>
    <n v="30"/>
    <n v="0.96666666666666667"/>
  </r>
  <r>
    <x v="18"/>
    <s v="Outpatient Clinic"/>
    <n v="29"/>
    <n v="15"/>
    <n v="1.9333333333333333"/>
  </r>
  <r>
    <x v="21"/>
    <s v="Main Warehouse"/>
    <n v="29"/>
    <n v="661"/>
    <n v="4.3872919818456882E-2"/>
  </r>
  <r>
    <x v="19"/>
    <s v="South Wing Pharmacy"/>
    <n v="29"/>
    <n v="554"/>
    <n v="5.2346570397111915E-2"/>
  </r>
  <r>
    <x v="37"/>
    <s v="South Wing Pharmacy"/>
    <n v="29"/>
    <n v="366"/>
    <n v="7.9234972677595633E-2"/>
  </r>
  <r>
    <x v="6"/>
    <s v="South Wing Pharmacy"/>
    <n v="29"/>
    <n v="229"/>
    <n v="0.12663755458515283"/>
  </r>
  <r>
    <x v="21"/>
    <s v="South Wing Pharmacy"/>
    <n v="29"/>
    <n v="154"/>
    <n v="0.18831168831168832"/>
  </r>
  <r>
    <x v="68"/>
    <s v="North Wing Pharmacy"/>
    <n v="28"/>
    <n v="15"/>
    <n v="1.8666666666666667"/>
  </r>
  <r>
    <x v="37"/>
    <s v="Main Warehouse"/>
    <n v="28"/>
    <n v="254"/>
    <n v="0.11023622047244094"/>
  </r>
  <r>
    <x v="57"/>
    <s v="Emergency Dept Storage"/>
    <n v="28"/>
    <n v="90"/>
    <n v="0.31111111111111112"/>
  </r>
  <r>
    <x v="18"/>
    <s v="North Wing Pharmacy"/>
    <n v="28"/>
    <n v="100"/>
    <n v="0.28000000000000003"/>
  </r>
  <r>
    <x v="96"/>
    <s v="Main Warehouse"/>
    <n v="28"/>
    <n v="413"/>
    <n v="6.7796610169491525E-2"/>
  </r>
  <r>
    <x v="13"/>
    <s v="Main Warehouse"/>
    <n v="28"/>
    <n v="106"/>
    <n v="0.26415094339622641"/>
  </r>
  <r>
    <x v="65"/>
    <s v="Main Warehouse"/>
    <n v="28"/>
    <n v="388"/>
    <n v="7.2164948453608241E-2"/>
  </r>
  <r>
    <x v="5"/>
    <s v="Main Warehouse"/>
    <n v="27"/>
    <n v="137"/>
    <n v="0.19708029197080293"/>
  </r>
  <r>
    <x v="64"/>
    <s v="Outpatient Clinic"/>
    <n v="27"/>
    <n v="162"/>
    <n v="0.16666666666666666"/>
  </r>
  <r>
    <x v="73"/>
    <s v="Emergency Dept Storage"/>
    <n v="27"/>
    <n v="89"/>
    <n v="0.30337078651685395"/>
  </r>
  <r>
    <x v="40"/>
    <s v="Main Warehouse"/>
    <n v="27"/>
    <n v="515"/>
    <n v="5.2427184466019419E-2"/>
  </r>
  <r>
    <x v="81"/>
    <s v="Main Warehouse"/>
    <n v="27"/>
    <n v="70"/>
    <n v="0.38571428571428573"/>
  </r>
  <r>
    <x v="57"/>
    <s v="Main Warehouse"/>
    <n v="27"/>
    <n v="440"/>
    <n v="6.1363636363636363E-2"/>
  </r>
  <r>
    <x v="0"/>
    <s v="Main Warehouse"/>
    <n v="27"/>
    <n v="223"/>
    <n v="0.1210762331838565"/>
  </r>
  <r>
    <x v="64"/>
    <s v="North Wing Pharmacy"/>
    <n v="27"/>
    <n v="363"/>
    <n v="7.43801652892562E-2"/>
  </r>
  <r>
    <x v="3"/>
    <s v="Outpatient Clinic"/>
    <n v="27"/>
    <n v="96"/>
    <n v="0.28125"/>
  </r>
  <r>
    <x v="65"/>
    <s v="Main Warehouse"/>
    <n v="26"/>
    <n v="77"/>
    <n v="0.33766233766233766"/>
  </r>
  <r>
    <x v="20"/>
    <s v="Outpatient Clinic"/>
    <n v="26"/>
    <n v="837"/>
    <n v="3.106332138590203E-2"/>
  </r>
  <r>
    <x v="75"/>
    <s v="Outpatient Clinic"/>
    <n v="26"/>
    <n v="56"/>
    <n v="0.4642857142857143"/>
  </r>
  <r>
    <x v="35"/>
    <s v="South Wing Pharmacy"/>
    <n v="26"/>
    <n v="260"/>
    <n v="0.1"/>
  </r>
  <r>
    <x v="54"/>
    <s v="Emergency Dept Storage"/>
    <n v="26"/>
    <n v="12"/>
    <n v="2.1666666666666665"/>
  </r>
  <r>
    <x v="74"/>
    <s v="North Wing Pharmacy"/>
    <n v="26"/>
    <n v="283"/>
    <n v="9.187279151943463E-2"/>
  </r>
  <r>
    <x v="57"/>
    <s v="Emergency Dept Storage"/>
    <n v="26"/>
    <n v="108"/>
    <n v="0.24074074074074073"/>
  </r>
  <r>
    <x v="62"/>
    <s v="South Wing Pharmacy"/>
    <n v="26"/>
    <n v="133"/>
    <n v="0.19548872180451127"/>
  </r>
  <r>
    <x v="9"/>
    <s v="Outpatient Clinic"/>
    <n v="26"/>
    <n v="31"/>
    <n v="0.83870967741935487"/>
  </r>
  <r>
    <x v="97"/>
    <s v="Main Warehouse"/>
    <n v="26"/>
    <n v="354"/>
    <n v="7.3446327683615822E-2"/>
  </r>
  <r>
    <x v="93"/>
    <s v="Emergency Dept Storage"/>
    <n v="25"/>
    <n v="466"/>
    <n v="5.3648068669527899E-2"/>
  </r>
  <r>
    <x v="88"/>
    <s v="North Wing Pharmacy"/>
    <n v="25"/>
    <n v="607"/>
    <n v="4.118616144975288E-2"/>
  </r>
  <r>
    <x v="3"/>
    <s v="Emergency Dept Storage"/>
    <n v="25"/>
    <n v="816"/>
    <n v="3.0637254901960783E-2"/>
  </r>
  <r>
    <x v="5"/>
    <s v="Outpatient Clinic"/>
    <n v="25"/>
    <n v="240"/>
    <n v="0.10416666666666667"/>
  </r>
  <r>
    <x v="66"/>
    <s v="Emergency Dept Storage"/>
    <n v="25"/>
    <n v="33"/>
    <n v="0.75757575757575757"/>
  </r>
  <r>
    <x v="49"/>
    <s v="Outpatient Clinic"/>
    <n v="25"/>
    <n v="419"/>
    <n v="5.9665871121718374E-2"/>
  </r>
  <r>
    <x v="36"/>
    <s v="Emergency Dept Storage"/>
    <n v="25"/>
    <n v="185"/>
    <n v="0.13513513513513514"/>
  </r>
  <r>
    <x v="95"/>
    <s v="South Wing Pharmacy"/>
    <n v="25"/>
    <n v="385"/>
    <n v="6.4935064935064929E-2"/>
  </r>
  <r>
    <x v="56"/>
    <s v="Outpatient Clinic"/>
    <n v="25"/>
    <n v="363"/>
    <n v="6.8870523415977963E-2"/>
  </r>
  <r>
    <x v="38"/>
    <s v="Main Warehouse"/>
    <n v="25"/>
    <n v="123"/>
    <n v="0.2032520325203252"/>
  </r>
  <r>
    <x v="56"/>
    <s v="Outpatient Clinic"/>
    <n v="25"/>
    <n v="185"/>
    <n v="0.13513513513513514"/>
  </r>
  <r>
    <x v="13"/>
    <s v="North Wing Pharmacy"/>
    <n v="25"/>
    <n v="56"/>
    <n v="0.44642857142857145"/>
  </r>
  <r>
    <x v="36"/>
    <s v="Emergency Dept Storage"/>
    <n v="25"/>
    <n v="212"/>
    <n v="0.11792452830188679"/>
  </r>
  <r>
    <x v="97"/>
    <s v="South Wing Pharmacy"/>
    <n v="24"/>
    <n v="119"/>
    <n v="0.20168067226890757"/>
  </r>
  <r>
    <x v="2"/>
    <s v="South Wing Pharmacy"/>
    <n v="24"/>
    <n v="356"/>
    <n v="6.741573033707865E-2"/>
  </r>
  <r>
    <x v="94"/>
    <s v="Main Warehouse"/>
    <n v="24"/>
    <n v="44"/>
    <n v="0.54545454545454541"/>
  </r>
  <r>
    <x v="64"/>
    <s v="Outpatient Clinic"/>
    <n v="24"/>
    <n v="102"/>
    <n v="0.23529411764705882"/>
  </r>
  <r>
    <x v="64"/>
    <s v="Main Warehouse"/>
    <n v="24"/>
    <n v="31"/>
    <n v="0.77419354838709675"/>
  </r>
  <r>
    <x v="81"/>
    <s v="South Wing Pharmacy"/>
    <n v="24"/>
    <n v="77"/>
    <n v="0.31168831168831168"/>
  </r>
  <r>
    <x v="56"/>
    <s v="North Wing Pharmacy"/>
    <n v="24"/>
    <n v="169"/>
    <n v="0.14201183431952663"/>
  </r>
  <r>
    <x v="84"/>
    <s v="Emergency Dept Storage"/>
    <n v="24"/>
    <n v="416"/>
    <n v="5.7692307692307696E-2"/>
  </r>
  <r>
    <x v="50"/>
    <s v="North Wing Pharmacy"/>
    <n v="24"/>
    <n v="510"/>
    <n v="4.7058823529411764E-2"/>
  </r>
  <r>
    <x v="71"/>
    <s v="North Wing Pharmacy"/>
    <n v="24"/>
    <n v="258"/>
    <n v="9.3023255813953487E-2"/>
  </r>
  <r>
    <x v="82"/>
    <s v="North Wing Pharmacy"/>
    <n v="23"/>
    <n v="78"/>
    <n v="0.29487179487179488"/>
  </r>
  <r>
    <x v="4"/>
    <s v="Emergency Dept Storage"/>
    <n v="23"/>
    <n v="517"/>
    <n v="4.4487427466150871E-2"/>
  </r>
  <r>
    <x v="47"/>
    <s v="South Wing Pharmacy"/>
    <n v="23"/>
    <n v="284"/>
    <n v="8.098591549295775E-2"/>
  </r>
  <r>
    <x v="78"/>
    <s v="Outpatient Clinic"/>
    <n v="23"/>
    <n v="88"/>
    <n v="0.26136363636363635"/>
  </r>
  <r>
    <x v="36"/>
    <s v="Emergency Dept Storage"/>
    <n v="23"/>
    <n v="240"/>
    <n v="9.583333333333334E-2"/>
  </r>
  <r>
    <x v="30"/>
    <s v="South Wing Pharmacy"/>
    <n v="23"/>
    <n v="83"/>
    <n v="0.27710843373493976"/>
  </r>
  <r>
    <x v="45"/>
    <s v="North Wing Pharmacy"/>
    <n v="23"/>
    <n v="40"/>
    <n v="0.57499999999999996"/>
  </r>
  <r>
    <x v="40"/>
    <s v="Outpatient Clinic"/>
    <n v="22"/>
    <n v="4"/>
    <n v="5.5"/>
  </r>
  <r>
    <x v="73"/>
    <s v="Main Warehouse"/>
    <n v="22"/>
    <n v="898"/>
    <n v="2.4498886414253896E-2"/>
  </r>
  <r>
    <x v="61"/>
    <s v="Main Warehouse"/>
    <n v="22"/>
    <n v="103"/>
    <n v="0.21359223300970873"/>
  </r>
  <r>
    <x v="76"/>
    <s v="Outpatient Clinic"/>
    <n v="22"/>
    <n v="202"/>
    <n v="0.10891089108910891"/>
  </r>
  <r>
    <x v="81"/>
    <s v="Emergency Dept Storage"/>
    <n v="22"/>
    <n v="17"/>
    <n v="1.2941176470588236"/>
  </r>
  <r>
    <x v="4"/>
    <s v="Emergency Dept Storage"/>
    <n v="22"/>
    <n v="361"/>
    <n v="6.0941828254847646E-2"/>
  </r>
  <r>
    <x v="13"/>
    <s v="South Wing Pharmacy"/>
    <n v="22"/>
    <n v="631"/>
    <n v="3.486529318541997E-2"/>
  </r>
  <r>
    <x v="65"/>
    <s v="Emergency Dept Storage"/>
    <n v="22"/>
    <n v="504"/>
    <n v="4.3650793650793648E-2"/>
  </r>
  <r>
    <x v="37"/>
    <s v="Main Warehouse"/>
    <n v="21"/>
    <n v="875"/>
    <n v="2.4E-2"/>
  </r>
  <r>
    <x v="37"/>
    <s v="Outpatient Clinic"/>
    <n v="21"/>
    <n v="96"/>
    <n v="0.21875"/>
  </r>
  <r>
    <x v="7"/>
    <s v="South Wing Pharmacy"/>
    <n v="21"/>
    <n v="603"/>
    <n v="3.482587064676617E-2"/>
  </r>
  <r>
    <x v="51"/>
    <s v="Main Warehouse"/>
    <n v="21"/>
    <n v="44"/>
    <n v="0.47727272727272729"/>
  </r>
  <r>
    <x v="97"/>
    <s v="Main Warehouse"/>
    <n v="21"/>
    <n v="69"/>
    <n v="0.30434782608695654"/>
  </r>
  <r>
    <x v="42"/>
    <s v="Outpatient Clinic"/>
    <n v="21"/>
    <n v="221"/>
    <n v="9.5022624434389136E-2"/>
  </r>
  <r>
    <x v="81"/>
    <s v="North Wing Pharmacy"/>
    <n v="20"/>
    <n v="251"/>
    <n v="7.9681274900398405E-2"/>
  </r>
  <r>
    <x v="14"/>
    <s v="South Wing Pharmacy"/>
    <n v="20"/>
    <n v="406"/>
    <n v="4.9261083743842367E-2"/>
  </r>
  <r>
    <x v="86"/>
    <s v="Emergency Dept Storage"/>
    <n v="20"/>
    <n v="34"/>
    <n v="0.58823529411764708"/>
  </r>
  <r>
    <x v="61"/>
    <s v="South Wing Pharmacy"/>
    <n v="20"/>
    <n v="559"/>
    <n v="3.5778175313059032E-2"/>
  </r>
  <r>
    <x v="4"/>
    <s v="South Wing Pharmacy"/>
    <n v="20"/>
    <n v="382"/>
    <n v="5.2356020942408377E-2"/>
  </r>
  <r>
    <x v="32"/>
    <s v="Emergency Dept Storage"/>
    <n v="20"/>
    <n v="205"/>
    <n v="9.7560975609756101E-2"/>
  </r>
  <r>
    <x v="65"/>
    <s v="Emergency Dept Storage"/>
    <n v="20"/>
    <n v="767"/>
    <n v="2.607561929595828E-2"/>
  </r>
  <r>
    <x v="55"/>
    <s v="South Wing Pharmacy"/>
    <n v="20"/>
    <n v="72"/>
    <n v="0.27777777777777779"/>
  </r>
  <r>
    <x v="8"/>
    <s v="North Wing Pharmacy"/>
    <n v="20"/>
    <n v="576"/>
    <n v="3.4722222222222224E-2"/>
  </r>
  <r>
    <x v="28"/>
    <s v="Outpatient Clinic"/>
    <n v="20"/>
    <n v="104"/>
    <n v="0.19230769230769232"/>
  </r>
  <r>
    <x v="29"/>
    <s v="Outpatient Clinic"/>
    <n v="20"/>
    <n v="171"/>
    <n v="0.11695906432748537"/>
  </r>
  <r>
    <x v="61"/>
    <s v="South Wing Pharmacy"/>
    <n v="20"/>
    <n v="505"/>
    <n v="3.9603960396039604E-2"/>
  </r>
  <r>
    <x v="38"/>
    <s v="Outpatient Clinic"/>
    <n v="19"/>
    <n v="573"/>
    <n v="3.3158813263525308E-2"/>
  </r>
  <r>
    <x v="86"/>
    <s v="Outpatient Clinic"/>
    <n v="19"/>
    <n v="425"/>
    <n v="4.4705882352941179E-2"/>
  </r>
  <r>
    <x v="99"/>
    <s v="Emergency Dept Storage"/>
    <n v="19"/>
    <n v="416"/>
    <n v="4.567307692307692E-2"/>
  </r>
  <r>
    <x v="31"/>
    <s v="Emergency Dept Storage"/>
    <n v="19"/>
    <n v="157"/>
    <n v="0.12101910828025478"/>
  </r>
  <r>
    <x v="24"/>
    <s v="Emergency Dept Storage"/>
    <n v="19"/>
    <n v="757"/>
    <n v="2.5099075297225892E-2"/>
  </r>
  <r>
    <x v="67"/>
    <s v="North Wing Pharmacy"/>
    <n v="19"/>
    <n v="0"/>
    <m/>
  </r>
  <r>
    <x v="37"/>
    <s v="Outpatient Clinic"/>
    <n v="19"/>
    <n v="346"/>
    <n v="5.4913294797687862E-2"/>
  </r>
  <r>
    <x v="6"/>
    <s v="Outpatient Clinic"/>
    <n v="19"/>
    <n v="401"/>
    <n v="4.738154613466334E-2"/>
  </r>
  <r>
    <x v="78"/>
    <s v="Emergency Dept Storage"/>
    <n v="19"/>
    <n v="147"/>
    <n v="0.12925170068027211"/>
  </r>
  <r>
    <x v="63"/>
    <s v="North Wing Pharmacy"/>
    <n v="19"/>
    <n v="562"/>
    <n v="3.3807829181494664E-2"/>
  </r>
  <r>
    <x v="95"/>
    <s v="North Wing Pharmacy"/>
    <n v="18"/>
    <n v="454"/>
    <n v="3.9647577092511016E-2"/>
  </r>
  <r>
    <x v="70"/>
    <s v="Main Warehouse"/>
    <n v="18"/>
    <n v="422"/>
    <n v="4.2654028436018961E-2"/>
  </r>
  <r>
    <x v="5"/>
    <s v="Outpatient Clinic"/>
    <n v="18"/>
    <n v="246"/>
    <n v="7.3170731707317069E-2"/>
  </r>
  <r>
    <x v="35"/>
    <s v="South Wing Pharmacy"/>
    <n v="18"/>
    <n v="476"/>
    <n v="3.7815126050420166E-2"/>
  </r>
  <r>
    <x v="99"/>
    <s v="South Wing Pharmacy"/>
    <n v="18"/>
    <n v="320"/>
    <n v="5.6250000000000001E-2"/>
  </r>
  <r>
    <x v="69"/>
    <s v="South Wing Pharmacy"/>
    <n v="18"/>
    <n v="468"/>
    <n v="3.8461538461538464E-2"/>
  </r>
  <r>
    <x v="46"/>
    <s v="South Wing Pharmacy"/>
    <n v="18"/>
    <n v="83"/>
    <n v="0.21686746987951808"/>
  </r>
  <r>
    <x v="82"/>
    <s v="South Wing Pharmacy"/>
    <n v="18"/>
    <n v="743"/>
    <n v="2.4226110363391656E-2"/>
  </r>
  <r>
    <x v="95"/>
    <s v="Main Warehouse"/>
    <n v="18"/>
    <n v="504"/>
    <n v="3.5714285714285712E-2"/>
  </r>
  <r>
    <x v="77"/>
    <s v="South Wing Pharmacy"/>
    <n v="17"/>
    <n v="154"/>
    <n v="0.11038961038961038"/>
  </r>
  <r>
    <x v="17"/>
    <s v="Outpatient Clinic"/>
    <n v="17"/>
    <n v="249"/>
    <n v="6.8273092369477914E-2"/>
  </r>
  <r>
    <x v="28"/>
    <s v="Emergency Dept Storage"/>
    <n v="17"/>
    <n v="9"/>
    <n v="1.8888888888888888"/>
  </r>
  <r>
    <x v="68"/>
    <s v="North Wing Pharmacy"/>
    <n v="17"/>
    <n v="98"/>
    <n v="0.17346938775510204"/>
  </r>
  <r>
    <x v="10"/>
    <s v="Outpatient Clinic"/>
    <n v="16"/>
    <n v="616"/>
    <n v="2.5974025974025972E-2"/>
  </r>
  <r>
    <x v="69"/>
    <s v="South Wing Pharmacy"/>
    <n v="16"/>
    <n v="189"/>
    <n v="8.4656084656084651E-2"/>
  </r>
  <r>
    <x v="92"/>
    <s v="Main Warehouse"/>
    <n v="16"/>
    <n v="140"/>
    <n v="0.11428571428571428"/>
  </r>
  <r>
    <x v="30"/>
    <s v="North Wing Pharmacy"/>
    <n v="16"/>
    <n v="467"/>
    <n v="3.4261241970021415E-2"/>
  </r>
  <r>
    <x v="25"/>
    <s v="North Wing Pharmacy"/>
    <n v="16"/>
    <n v="169"/>
    <n v="9.4674556213017749E-2"/>
  </r>
  <r>
    <x v="51"/>
    <s v="Main Warehouse"/>
    <n v="16"/>
    <n v="746"/>
    <n v="2.1447721179624665E-2"/>
  </r>
  <r>
    <x v="55"/>
    <s v="South Wing Pharmacy"/>
    <n v="15"/>
    <n v="541"/>
    <n v="2.7726432532347505E-2"/>
  </r>
  <r>
    <x v="44"/>
    <s v="North Wing Pharmacy"/>
    <n v="15"/>
    <n v="70"/>
    <n v="0.21428571428571427"/>
  </r>
  <r>
    <x v="11"/>
    <s v="Outpatient Clinic"/>
    <n v="15"/>
    <n v="177"/>
    <n v="8.4745762711864403E-2"/>
  </r>
  <r>
    <x v="11"/>
    <s v="Outpatient Clinic"/>
    <n v="15"/>
    <n v="24"/>
    <n v="0.625"/>
  </r>
  <r>
    <x v="80"/>
    <s v="Emergency Dept Storage"/>
    <n v="15"/>
    <n v="311"/>
    <n v="4.8231511254019289E-2"/>
  </r>
  <r>
    <x v="82"/>
    <s v="Outpatient Clinic"/>
    <n v="15"/>
    <n v="89"/>
    <n v="0.16853932584269662"/>
  </r>
  <r>
    <x v="13"/>
    <s v="Outpatient Clinic"/>
    <n v="15"/>
    <n v="202"/>
    <n v="7.4257425742574254E-2"/>
  </r>
  <r>
    <x v="17"/>
    <s v="Main Warehouse"/>
    <n v="15"/>
    <n v="148"/>
    <n v="0.10135135135135136"/>
  </r>
  <r>
    <x v="28"/>
    <s v="Outpatient Clinic"/>
    <n v="14"/>
    <n v="629"/>
    <n v="2.2257551669316374E-2"/>
  </r>
  <r>
    <x v="16"/>
    <s v="Outpatient Clinic"/>
    <n v="14"/>
    <n v="286"/>
    <n v="4.8951048951048952E-2"/>
  </r>
  <r>
    <x v="87"/>
    <s v="North Wing Pharmacy"/>
    <n v="14"/>
    <n v="268"/>
    <n v="5.2238805970149252E-2"/>
  </r>
  <r>
    <x v="7"/>
    <s v="Emergency Dept Storage"/>
    <n v="14"/>
    <n v="14"/>
    <n v="1"/>
  </r>
  <r>
    <x v="96"/>
    <s v="North Wing Pharmacy"/>
    <n v="14"/>
    <n v="35"/>
    <n v="0.4"/>
  </r>
  <r>
    <x v="19"/>
    <s v="South Wing Pharmacy"/>
    <n v="14"/>
    <n v="349"/>
    <n v="4.0114613180515762E-2"/>
  </r>
  <r>
    <x v="17"/>
    <s v="Emergency Dept Storage"/>
    <n v="13"/>
    <n v="129"/>
    <n v="0.10077519379844961"/>
  </r>
  <r>
    <x v="39"/>
    <s v="Outpatient Clinic"/>
    <n v="13"/>
    <n v="481"/>
    <n v="2.7027027027027029E-2"/>
  </r>
  <r>
    <x v="1"/>
    <s v="Main Warehouse"/>
    <n v="13"/>
    <n v="541"/>
    <n v="2.4029574861367836E-2"/>
  </r>
  <r>
    <x v="15"/>
    <s v="Outpatient Clinic"/>
    <n v="13"/>
    <n v="265"/>
    <n v="4.9056603773584909E-2"/>
  </r>
  <r>
    <x v="40"/>
    <s v="Outpatient Clinic"/>
    <n v="13"/>
    <n v="251"/>
    <n v="5.1792828685258967E-2"/>
  </r>
  <r>
    <x v="22"/>
    <s v="South Wing Pharmacy"/>
    <n v="13"/>
    <n v="379"/>
    <n v="3.430079155672823E-2"/>
  </r>
  <r>
    <x v="38"/>
    <s v="South Wing Pharmacy"/>
    <n v="12"/>
    <n v="49"/>
    <n v="0.24489795918367346"/>
  </r>
  <r>
    <x v="48"/>
    <s v="Main Warehouse"/>
    <n v="12"/>
    <n v="220"/>
    <n v="5.4545454545454543E-2"/>
  </r>
  <r>
    <x v="18"/>
    <s v="South Wing Pharmacy"/>
    <n v="12"/>
    <n v="4"/>
    <n v="3"/>
  </r>
  <r>
    <x v="60"/>
    <s v="Outpatient Clinic"/>
    <n v="12"/>
    <n v="778"/>
    <n v="1.5424164524421594E-2"/>
  </r>
  <r>
    <x v="70"/>
    <s v="Emergency Dept Storage"/>
    <n v="12"/>
    <n v="284"/>
    <n v="4.2253521126760563E-2"/>
  </r>
  <r>
    <x v="85"/>
    <s v="South Wing Pharmacy"/>
    <n v="12"/>
    <n v="164"/>
    <n v="7.3170731707317069E-2"/>
  </r>
  <r>
    <x v="56"/>
    <s v="Emergency Dept Storage"/>
    <n v="12"/>
    <n v="107"/>
    <n v="0.11214953271028037"/>
  </r>
  <r>
    <x v="42"/>
    <s v="North Wing Pharmacy"/>
    <n v="11"/>
    <n v="17"/>
    <n v="0.6470588235294118"/>
  </r>
  <r>
    <x v="90"/>
    <s v="North Wing Pharmacy"/>
    <n v="11"/>
    <n v="74"/>
    <n v="0.14864864864864866"/>
  </r>
  <r>
    <x v="81"/>
    <s v="Outpatient Clinic"/>
    <n v="11"/>
    <n v="400"/>
    <n v="2.75E-2"/>
  </r>
  <r>
    <x v="51"/>
    <s v="North Wing Pharmacy"/>
    <n v="11"/>
    <n v="305"/>
    <n v="3.6065573770491806E-2"/>
  </r>
  <r>
    <x v="35"/>
    <s v="Main Warehouse"/>
    <n v="11"/>
    <n v="251"/>
    <n v="4.3824701195219126E-2"/>
  </r>
  <r>
    <x v="13"/>
    <s v="Emergency Dept Storage"/>
    <n v="11"/>
    <n v="274"/>
    <n v="4.0145985401459854E-2"/>
  </r>
  <r>
    <x v="10"/>
    <s v="North Wing Pharmacy"/>
    <n v="11"/>
    <n v="439"/>
    <n v="2.5056947608200455E-2"/>
  </r>
  <r>
    <x v="37"/>
    <s v="Outpatient Clinic"/>
    <n v="11"/>
    <n v="91"/>
    <n v="0.12087912087912088"/>
  </r>
  <r>
    <x v="43"/>
    <s v="North Wing Pharmacy"/>
    <n v="10"/>
    <n v="645"/>
    <n v="1.5503875968992248E-2"/>
  </r>
  <r>
    <x v="71"/>
    <s v="Main Warehouse"/>
    <n v="10"/>
    <n v="66"/>
    <n v="0.15151515151515152"/>
  </r>
  <r>
    <x v="57"/>
    <s v="Emergency Dept Storage"/>
    <n v="10"/>
    <n v="921"/>
    <n v="1.0857763300760043E-2"/>
  </r>
  <r>
    <x v="24"/>
    <s v="Main Warehouse"/>
    <n v="10"/>
    <n v="280"/>
    <n v="3.5714285714285712E-2"/>
  </r>
  <r>
    <x v="69"/>
    <s v="North Wing Pharmacy"/>
    <n v="10"/>
    <n v="633"/>
    <n v="1.579778830963665E-2"/>
  </r>
  <r>
    <x v="36"/>
    <s v="Emergency Dept Storage"/>
    <n v="10"/>
    <n v="28"/>
    <n v="0.35714285714285715"/>
  </r>
  <r>
    <x v="0"/>
    <s v="South Wing Pharmacy"/>
    <n v="10"/>
    <n v="215"/>
    <n v="4.6511627906976744E-2"/>
  </r>
  <r>
    <x v="92"/>
    <s v="South Wing Pharmacy"/>
    <n v="10"/>
    <n v="750"/>
    <n v="1.3333333333333332E-2"/>
  </r>
  <r>
    <x v="7"/>
    <s v="North Wing Pharmacy"/>
    <n v="10"/>
    <n v="128"/>
    <n v="7.8125E-2"/>
  </r>
  <r>
    <x v="81"/>
    <s v="Emergency Dept Storage"/>
    <n v="9"/>
    <n v="211"/>
    <n v="4.2654028436018961E-2"/>
  </r>
  <r>
    <x v="86"/>
    <s v="South Wing Pharmacy"/>
    <n v="9"/>
    <n v="152"/>
    <n v="5.921052631578947E-2"/>
  </r>
  <r>
    <x v="61"/>
    <s v="Main Warehouse"/>
    <n v="9"/>
    <n v="183"/>
    <n v="4.9180327868852458E-2"/>
  </r>
  <r>
    <x v="13"/>
    <s v="Emergency Dept Storage"/>
    <n v="9"/>
    <n v="44"/>
    <n v="0.20454545454545456"/>
  </r>
  <r>
    <x v="8"/>
    <s v="South Wing Pharmacy"/>
    <n v="9"/>
    <n v="37"/>
    <n v="0.24324324324324326"/>
  </r>
  <r>
    <x v="96"/>
    <s v="Main Warehouse"/>
    <n v="9"/>
    <n v="42"/>
    <n v="0.21428571428571427"/>
  </r>
  <r>
    <x v="1"/>
    <s v="Emergency Dept Storage"/>
    <n v="9"/>
    <n v="93"/>
    <n v="9.6774193548387094E-2"/>
  </r>
  <r>
    <x v="72"/>
    <s v="Outpatient Clinic"/>
    <n v="9"/>
    <n v="215"/>
    <n v="4.1860465116279069E-2"/>
  </r>
  <r>
    <x v="98"/>
    <s v="South Wing Pharmacy"/>
    <n v="9"/>
    <n v="332"/>
    <n v="2.710843373493976E-2"/>
  </r>
  <r>
    <x v="90"/>
    <s v="North Wing Pharmacy"/>
    <n v="9"/>
    <n v="38"/>
    <n v="0.23684210526315788"/>
  </r>
  <r>
    <x v="16"/>
    <s v="Outpatient Clinic"/>
    <n v="8"/>
    <n v="122"/>
    <n v="6.5573770491803282E-2"/>
  </r>
  <r>
    <x v="39"/>
    <s v="South Wing Pharmacy"/>
    <n v="8"/>
    <n v="204"/>
    <n v="3.9215686274509803E-2"/>
  </r>
  <r>
    <x v="98"/>
    <s v="Outpatient Clinic"/>
    <n v="8"/>
    <n v="188"/>
    <n v="4.2553191489361701E-2"/>
  </r>
  <r>
    <x v="28"/>
    <s v="Main Warehouse"/>
    <n v="8"/>
    <n v="116"/>
    <n v="6.8965517241379309E-2"/>
  </r>
  <r>
    <x v="89"/>
    <s v="Emergency Dept Storage"/>
    <n v="8"/>
    <n v="798"/>
    <n v="1.0025062656641603E-2"/>
  </r>
  <r>
    <x v="77"/>
    <s v="Emergency Dept Storage"/>
    <n v="8"/>
    <n v="16"/>
    <n v="0.5"/>
  </r>
  <r>
    <x v="92"/>
    <s v="North Wing Pharmacy"/>
    <n v="8"/>
    <n v="319"/>
    <n v="2.5078369905956112E-2"/>
  </r>
  <r>
    <x v="62"/>
    <s v="Main Warehouse"/>
    <n v="8"/>
    <n v="272"/>
    <n v="2.9411764705882353E-2"/>
  </r>
  <r>
    <x v="8"/>
    <s v="North Wing Pharmacy"/>
    <n v="8"/>
    <n v="696"/>
    <n v="1.1494252873563218E-2"/>
  </r>
  <r>
    <x v="19"/>
    <s v="Emergency Dept Storage"/>
    <n v="7"/>
    <n v="37"/>
    <n v="0.1891891891891892"/>
  </r>
  <r>
    <x v="65"/>
    <s v="North Wing Pharmacy"/>
    <n v="7"/>
    <n v="158"/>
    <n v="4.4303797468354431E-2"/>
  </r>
  <r>
    <x v="51"/>
    <s v="South Wing Pharmacy"/>
    <n v="7"/>
    <n v="518"/>
    <n v="1.3513513513513514E-2"/>
  </r>
  <r>
    <x v="31"/>
    <s v="Main Warehouse"/>
    <n v="7"/>
    <n v="46"/>
    <n v="0.15217391304347827"/>
  </r>
  <r>
    <x v="12"/>
    <s v="Outpatient Clinic"/>
    <n v="7"/>
    <n v="236"/>
    <n v="2.9661016949152543E-2"/>
  </r>
  <r>
    <x v="96"/>
    <s v="Emergency Dept Storage"/>
    <n v="7"/>
    <n v="51"/>
    <n v="0.13725490196078433"/>
  </r>
  <r>
    <x v="39"/>
    <s v="South Wing Pharmacy"/>
    <n v="7"/>
    <n v="549"/>
    <n v="1.2750455373406192E-2"/>
  </r>
  <r>
    <x v="83"/>
    <s v="Emergency Dept Storage"/>
    <n v="7"/>
    <n v="748"/>
    <n v="9.3582887700534752E-3"/>
  </r>
  <r>
    <x v="81"/>
    <s v="Outpatient Clinic"/>
    <n v="7"/>
    <n v="137"/>
    <n v="5.1094890510948905E-2"/>
  </r>
  <r>
    <x v="56"/>
    <s v="North Wing Pharmacy"/>
    <n v="7"/>
    <n v="106"/>
    <n v="6.6037735849056603E-2"/>
  </r>
  <r>
    <x v="49"/>
    <s v="Outpatient Clinic"/>
    <n v="6"/>
    <n v="27"/>
    <n v="0.22222222222222221"/>
  </r>
  <r>
    <x v="24"/>
    <s v="South Wing Pharmacy"/>
    <n v="6"/>
    <n v="914"/>
    <n v="6.5645514223194746E-3"/>
  </r>
  <r>
    <x v="11"/>
    <s v="Outpatient Clinic"/>
    <n v="5"/>
    <n v="56"/>
    <n v="8.9285714285714288E-2"/>
  </r>
  <r>
    <x v="5"/>
    <s v="Emergency Dept Storage"/>
    <n v="5"/>
    <n v="25"/>
    <n v="0.2"/>
  </r>
  <r>
    <x v="70"/>
    <s v="Emergency Dept Storage"/>
    <n v="5"/>
    <n v="191"/>
    <n v="2.6178010471204188E-2"/>
  </r>
  <r>
    <x v="77"/>
    <s v="North Wing Pharmacy"/>
    <n v="5"/>
    <n v="206"/>
    <n v="2.4271844660194174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S001"/>
    <x v="0"/>
    <n v="16"/>
  </r>
  <r>
    <s v="S002"/>
    <x v="1"/>
    <n v="20"/>
  </r>
  <r>
    <s v="S003"/>
    <x v="2"/>
    <n v="3"/>
  </r>
  <r>
    <s v="S004"/>
    <x v="3"/>
    <n v="10"/>
  </r>
  <r>
    <s v="S005"/>
    <x v="4"/>
    <n v="17"/>
  </r>
  <r>
    <s v="S006"/>
    <x v="5"/>
    <n v="10"/>
  </r>
  <r>
    <s v="S007"/>
    <x v="6"/>
    <n v="8"/>
  </r>
  <r>
    <s v="S008"/>
    <x v="7"/>
    <n v="15"/>
  </r>
  <r>
    <s v="S009"/>
    <x v="8"/>
    <n v="19"/>
  </r>
  <r>
    <s v="S010"/>
    <x v="9"/>
    <n v="18"/>
  </r>
  <r>
    <s v="S011"/>
    <x v="10"/>
    <n v="14"/>
  </r>
  <r>
    <s v="S012"/>
    <x v="11"/>
    <n v="15"/>
  </r>
  <r>
    <s v="S013"/>
    <x v="12"/>
    <n v="15"/>
  </r>
  <r>
    <s v="S014"/>
    <x v="13"/>
    <n v="12"/>
  </r>
  <r>
    <s v="S015"/>
    <x v="14"/>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3AFA1-C79F-4D49-B810-53F57C5310E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4" firstHeaderRow="1" firstDataRow="1" firstDataCol="1"/>
  <pivotFields count="7">
    <pivotField showAll="0"/>
    <pivotField showAll="0"/>
    <pivotField showAll="0"/>
    <pivotField numFmtId="14" showAll="0"/>
    <pivotField showAll="0"/>
    <pivotField dataField="1" showAll="0">
      <items count="381">
        <item x="266"/>
        <item x="17"/>
        <item x="288"/>
        <item x="28"/>
        <item x="60"/>
        <item x="102"/>
        <item x="167"/>
        <item x="230"/>
        <item x="263"/>
        <item x="150"/>
        <item x="284"/>
        <item x="171"/>
        <item x="61"/>
        <item x="272"/>
        <item x="265"/>
        <item x="254"/>
        <item x="103"/>
        <item x="30"/>
        <item x="306"/>
        <item x="196"/>
        <item x="202"/>
        <item x="34"/>
        <item x="50"/>
        <item x="275"/>
        <item x="204"/>
        <item x="374"/>
        <item x="290"/>
        <item x="149"/>
        <item x="147"/>
        <item x="232"/>
        <item x="326"/>
        <item x="85"/>
        <item x="276"/>
        <item x="350"/>
        <item x="177"/>
        <item x="36"/>
        <item x="19"/>
        <item x="173"/>
        <item x="224"/>
        <item x="341"/>
        <item x="66"/>
        <item x="308"/>
        <item x="231"/>
        <item x="261"/>
        <item x="378"/>
        <item x="51"/>
        <item x="159"/>
        <item x="338"/>
        <item x="313"/>
        <item x="131"/>
        <item x="121"/>
        <item x="33"/>
        <item x="271"/>
        <item x="14"/>
        <item x="223"/>
        <item x="46"/>
        <item x="307"/>
        <item x="201"/>
        <item x="42"/>
        <item x="23"/>
        <item x="339"/>
        <item x="258"/>
        <item x="12"/>
        <item x="78"/>
        <item x="120"/>
        <item x="366"/>
        <item x="6"/>
        <item x="75"/>
        <item x="375"/>
        <item x="361"/>
        <item x="57"/>
        <item x="84"/>
        <item x="26"/>
        <item x="242"/>
        <item x="331"/>
        <item x="100"/>
        <item x="62"/>
        <item x="315"/>
        <item x="139"/>
        <item x="39"/>
        <item x="116"/>
        <item x="127"/>
        <item x="222"/>
        <item x="298"/>
        <item x="119"/>
        <item x="377"/>
        <item x="218"/>
        <item x="80"/>
        <item x="334"/>
        <item x="323"/>
        <item x="324"/>
        <item x="248"/>
        <item x="241"/>
        <item x="89"/>
        <item x="198"/>
        <item x="67"/>
        <item x="322"/>
        <item x="35"/>
        <item x="143"/>
        <item x="76"/>
        <item x="197"/>
        <item x="216"/>
        <item x="165"/>
        <item x="352"/>
        <item x="333"/>
        <item x="96"/>
        <item x="124"/>
        <item x="282"/>
        <item x="49"/>
        <item x="74"/>
        <item x="190"/>
        <item x="73"/>
        <item x="21"/>
        <item x="24"/>
        <item x="301"/>
        <item x="92"/>
        <item x="151"/>
        <item x="214"/>
        <item x="83"/>
        <item x="187"/>
        <item x="137"/>
        <item x="292"/>
        <item x="97"/>
        <item x="77"/>
        <item x="55"/>
        <item x="321"/>
        <item x="115"/>
        <item x="94"/>
        <item x="363"/>
        <item x="40"/>
        <item x="239"/>
        <item x="212"/>
        <item x="70"/>
        <item x="281"/>
        <item x="210"/>
        <item x="274"/>
        <item x="273"/>
        <item x="335"/>
        <item x="182"/>
        <item x="195"/>
        <item x="300"/>
        <item x="152"/>
        <item x="317"/>
        <item x="200"/>
        <item x="186"/>
        <item x="10"/>
        <item x="199"/>
        <item x="346"/>
        <item x="68"/>
        <item x="250"/>
        <item x="373"/>
        <item x="47"/>
        <item x="166"/>
        <item x="277"/>
        <item x="246"/>
        <item x="107"/>
        <item x="203"/>
        <item x="38"/>
        <item x="179"/>
        <item x="225"/>
        <item x="44"/>
        <item x="157"/>
        <item x="362"/>
        <item x="184"/>
        <item x="72"/>
        <item x="130"/>
        <item x="332"/>
        <item x="299"/>
        <item x="169"/>
        <item x="135"/>
        <item x="305"/>
        <item x="369"/>
        <item x="37"/>
        <item x="344"/>
        <item x="206"/>
        <item x="253"/>
        <item x="286"/>
        <item x="53"/>
        <item x="269"/>
        <item x="45"/>
        <item x="153"/>
        <item x="32"/>
        <item x="285"/>
        <item x="257"/>
        <item x="69"/>
        <item x="104"/>
        <item x="188"/>
        <item x="303"/>
        <item x="221"/>
        <item x="337"/>
        <item x="126"/>
        <item x="211"/>
        <item x="48"/>
        <item x="347"/>
        <item x="325"/>
        <item x="144"/>
        <item x="336"/>
        <item x="91"/>
        <item x="122"/>
        <item x="113"/>
        <item x="348"/>
        <item x="160"/>
        <item x="138"/>
        <item x="310"/>
        <item x="98"/>
        <item x="178"/>
        <item x="141"/>
        <item x="58"/>
        <item x="262"/>
        <item x="345"/>
        <item x="367"/>
        <item x="129"/>
        <item x="228"/>
        <item x="256"/>
        <item x="291"/>
        <item x="8"/>
        <item x="194"/>
        <item x="168"/>
        <item x="314"/>
        <item x="133"/>
        <item x="208"/>
        <item x="340"/>
        <item x="65"/>
        <item x="356"/>
        <item x="148"/>
        <item x="27"/>
        <item x="226"/>
        <item x="235"/>
        <item x="295"/>
        <item x="2"/>
        <item x="164"/>
        <item x="280"/>
        <item x="207"/>
        <item x="357"/>
        <item x="251"/>
        <item x="217"/>
        <item x="371"/>
        <item x="82"/>
        <item x="354"/>
        <item x="18"/>
        <item x="90"/>
        <item x="183"/>
        <item x="56"/>
        <item x="370"/>
        <item x="81"/>
        <item x="109"/>
        <item x="1"/>
        <item x="372"/>
        <item x="229"/>
        <item x="99"/>
        <item x="320"/>
        <item x="5"/>
        <item x="213"/>
        <item x="110"/>
        <item x="3"/>
        <item x="142"/>
        <item x="71"/>
        <item x="176"/>
        <item x="355"/>
        <item x="342"/>
        <item x="364"/>
        <item x="351"/>
        <item x="189"/>
        <item x="59"/>
        <item x="236"/>
        <item x="106"/>
        <item x="255"/>
        <item x="234"/>
        <item x="330"/>
        <item x="294"/>
        <item x="215"/>
        <item x="146"/>
        <item x="20"/>
        <item x="279"/>
        <item x="244"/>
        <item x="0"/>
        <item x="376"/>
        <item x="31"/>
        <item x="191"/>
        <item x="163"/>
        <item x="108"/>
        <item x="132"/>
        <item x="293"/>
        <item x="175"/>
        <item x="86"/>
        <item x="309"/>
        <item x="140"/>
        <item x="240"/>
        <item x="249"/>
        <item x="87"/>
        <item x="311"/>
        <item x="145"/>
        <item x="11"/>
        <item x="128"/>
        <item x="304"/>
        <item x="379"/>
        <item x="117"/>
        <item x="353"/>
        <item x="237"/>
        <item x="318"/>
        <item x="316"/>
        <item x="365"/>
        <item x="125"/>
        <item x="136"/>
        <item x="105"/>
        <item x="278"/>
        <item x="93"/>
        <item x="79"/>
        <item x="181"/>
        <item x="114"/>
        <item x="15"/>
        <item x="95"/>
        <item x="180"/>
        <item x="245"/>
        <item x="162"/>
        <item x="123"/>
        <item x="155"/>
        <item x="260"/>
        <item x="54"/>
        <item x="358"/>
        <item x="270"/>
        <item x="134"/>
        <item x="16"/>
        <item x="328"/>
        <item x="156"/>
        <item x="25"/>
        <item x="9"/>
        <item x="111"/>
        <item x="297"/>
        <item x="4"/>
        <item x="264"/>
        <item x="22"/>
        <item x="227"/>
        <item x="220"/>
        <item x="312"/>
        <item x="118"/>
        <item x="63"/>
        <item x="112"/>
        <item x="174"/>
        <item x="101"/>
        <item x="287"/>
        <item x="52"/>
        <item x="161"/>
        <item x="319"/>
        <item x="88"/>
        <item x="185"/>
        <item x="349"/>
        <item x="13"/>
        <item x="267"/>
        <item x="64"/>
        <item x="233"/>
        <item x="302"/>
        <item x="205"/>
        <item x="368"/>
        <item x="247"/>
        <item x="360"/>
        <item x="359"/>
        <item x="283"/>
        <item x="29"/>
        <item x="268"/>
        <item x="41"/>
        <item x="289"/>
        <item x="327"/>
        <item x="7"/>
        <item x="154"/>
        <item x="43"/>
        <item x="219"/>
        <item x="252"/>
        <item x="343"/>
        <item x="243"/>
        <item x="329"/>
        <item x="296"/>
        <item x="192"/>
        <item x="170"/>
        <item x="209"/>
        <item x="193"/>
        <item x="172"/>
        <item x="158"/>
        <item x="238"/>
        <item x="259"/>
        <item t="default"/>
      </items>
    </pivotField>
    <pivotField axis="axisRow" showAll="0">
      <items count="3">
        <item x="0"/>
        <item x="1"/>
        <item t="default"/>
      </items>
    </pivotField>
  </pivotFields>
  <rowFields count="1">
    <field x="6"/>
  </rowFields>
  <rowItems count="3">
    <i>
      <x/>
    </i>
    <i>
      <x v="1"/>
    </i>
    <i t="grand">
      <x/>
    </i>
  </rowItems>
  <colItems count="1">
    <i/>
  </colItems>
  <dataFields count="1">
    <dataField name="Sum of potentialrevenueloss" fld="5" baseField="6" baseItem="0" numFmtId="164"/>
  </dataFields>
  <formats count="5">
    <format dxfId="70">
      <pivotArea field="6" type="button" dataOnly="0" labelOnly="1" outline="0" axis="axisRow" fieldPosition="0"/>
    </format>
    <format dxfId="69">
      <pivotArea dataOnly="0" labelOnly="1" fieldPosition="0">
        <references count="1">
          <reference field="6" count="0"/>
        </references>
      </pivotArea>
    </format>
    <format dxfId="68">
      <pivotArea dataOnly="0" labelOnly="1" grandRow="1" outline="0" fieldPosition="0"/>
    </format>
    <format dxfId="67">
      <pivotArea outline="0" collapsedLevelsAreSubtotals="1" fieldPosition="0"/>
    </format>
    <format dxfId="66">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1FAFC-6024-4F03-BF6E-2073BF149D4A}"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10:U12" firstHeaderRow="1" firstDataRow="1" firstDataCol="1"/>
  <pivotFields count="3">
    <pivotField showAll="0"/>
    <pivotField axis="axisRow" showAll="0" sortType="descending">
      <items count="16">
        <item h="1" x="0"/>
        <item h="1" x="1"/>
        <item h="1" x="2"/>
        <item h="1" x="3"/>
        <item h="1" x="4"/>
        <item h="1" x="5"/>
        <item h="1" x="6"/>
        <item x="7"/>
        <item h="1" x="8"/>
        <item h="1" x="9"/>
        <item h="1" x="10"/>
        <item h="1" x="11"/>
        <item h="1" x="12"/>
        <item h="1" x="13"/>
        <item h="1" x="14"/>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2">
    <i>
      <x v="7"/>
    </i>
    <i t="grand">
      <x/>
    </i>
  </rowItems>
  <colItems count="1">
    <i/>
  </colItems>
  <dataFields count="1">
    <dataField name="Sum of averageleadtime_days" fld="2" baseField="0" baseItem="0"/>
  </dataFields>
  <formats count="5">
    <format dxfId="53">
      <pivotArea field="1" type="button" dataOnly="0" labelOnly="1" outline="0" axis="axisRow" fieldPosition="0"/>
    </format>
    <format dxfId="52">
      <pivotArea dataOnly="0" labelOnly="1" fieldPosition="0">
        <references count="1">
          <reference field="1" count="0"/>
        </references>
      </pivotArea>
    </format>
    <format dxfId="51">
      <pivotArea dataOnly="0" labelOnly="1" grandRow="1" outline="0" fieldPosition="0"/>
    </format>
    <format dxfId="50">
      <pivotArea outline="0" collapsedLevelsAreSubtotals="1" fieldPosition="0"/>
    </format>
    <format dxfId="49">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37A1CA-AB33-4666-98DF-7EAEFEBCAFD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0:I12" firstHeaderRow="0" firstDataRow="1" firstDataCol="1"/>
  <pivotFields count="5">
    <pivotField axis="axisRow" showAll="0">
      <items count="101">
        <item h="1" x="70"/>
        <item h="1" x="81"/>
        <item h="1" x="53"/>
        <item h="1" x="9"/>
        <item h="1" x="57"/>
        <item h="1" x="17"/>
        <item h="1" x="41"/>
        <item h="1" x="3"/>
        <item h="1" x="61"/>
        <item h="1" x="13"/>
        <item h="1" x="91"/>
        <item h="1" x="6"/>
        <item h="1" x="48"/>
        <item h="1" x="1"/>
        <item h="1" x="67"/>
        <item h="1" x="52"/>
        <item h="1" x="42"/>
        <item h="1" x="38"/>
        <item h="1" x="87"/>
        <item h="1" x="69"/>
        <item h="1" x="29"/>
        <item h="1" x="84"/>
        <item h="1" x="62"/>
        <item h="1" x="88"/>
        <item h="1" x="54"/>
        <item h="1" x="12"/>
        <item h="1" x="19"/>
        <item h="1" x="47"/>
        <item h="1" x="92"/>
        <item x="86"/>
        <item h="1" x="45"/>
        <item h="1" x="66"/>
        <item h="1" x="74"/>
        <item h="1" x="46"/>
        <item h="1" x="25"/>
        <item h="1" x="95"/>
        <item h="1" x="65"/>
        <item h="1" x="23"/>
        <item h="1" x="63"/>
        <item h="1" x="59"/>
        <item h="1" x="85"/>
        <item h="1" x="58"/>
        <item h="1" x="8"/>
        <item h="1" x="37"/>
        <item h="1" x="93"/>
        <item h="1" x="5"/>
        <item h="1" x="79"/>
        <item h="1" x="64"/>
        <item h="1" x="16"/>
        <item h="1" x="49"/>
        <item h="1" x="72"/>
        <item h="1" x="55"/>
        <item h="1" x="73"/>
        <item h="1" x="0"/>
        <item h="1" x="28"/>
        <item h="1" x="90"/>
        <item h="1" x="60"/>
        <item h="1" x="39"/>
        <item h="1" x="24"/>
        <item h="1" x="98"/>
        <item h="1" x="68"/>
        <item h="1" x="94"/>
        <item h="1" x="51"/>
        <item h="1" x="44"/>
        <item h="1" x="36"/>
        <item h="1" x="89"/>
        <item h="1" x="78"/>
        <item h="1" x="21"/>
        <item h="1" x="26"/>
        <item h="1" x="97"/>
        <item h="1" x="31"/>
        <item h="1" x="35"/>
        <item h="1" x="56"/>
        <item h="1" x="4"/>
        <item h="1" x="75"/>
        <item h="1" x="18"/>
        <item h="1" x="96"/>
        <item h="1" x="15"/>
        <item h="1" x="14"/>
        <item h="1" x="7"/>
        <item h="1" x="82"/>
        <item h="1" x="27"/>
        <item h="1" x="83"/>
        <item h="1" x="20"/>
        <item h="1" x="80"/>
        <item h="1" x="34"/>
        <item h="1" x="33"/>
        <item h="1" x="22"/>
        <item h="1" x="99"/>
        <item h="1" x="43"/>
        <item h="1" x="32"/>
        <item h="1" x="2"/>
        <item h="1" x="76"/>
        <item h="1" x="40"/>
        <item h="1" x="71"/>
        <item h="1" x="10"/>
        <item h="1" x="77"/>
        <item h="1" x="11"/>
        <item h="1" x="30"/>
        <item h="1" x="50"/>
        <item t="default"/>
      </items>
    </pivotField>
    <pivotField showAll="0"/>
    <pivotField dataField="1" showAll="0"/>
    <pivotField dataField="1" showAll="0"/>
    <pivotField showAll="0"/>
  </pivotFields>
  <rowFields count="1">
    <field x="0"/>
  </rowFields>
  <rowItems count="2">
    <i>
      <x v="29"/>
    </i>
    <i t="grand">
      <x/>
    </i>
  </rowItems>
  <colFields count="1">
    <field x="-2"/>
  </colFields>
  <colItems count="2">
    <i>
      <x/>
    </i>
    <i i="1">
      <x v="1"/>
    </i>
  </colItems>
  <dataFields count="2">
    <dataField name="Sum of currentstock" fld="3" baseField="0" baseItem="0"/>
    <dataField name="Sum of totalsold_last30days" fld="2" baseField="0" baseItem="0"/>
  </dataFields>
  <formats count="7">
    <format dxfId="60">
      <pivotArea field="0" type="button" dataOnly="0" labelOnly="1" outline="0" axis="axisRow" fieldPosition="0"/>
    </format>
    <format dxfId="59">
      <pivotArea dataOnly="0" labelOnly="1" fieldPosition="0">
        <references count="1">
          <reference field="0" count="0"/>
        </references>
      </pivotArea>
    </format>
    <format dxfId="58">
      <pivotArea dataOnly="0" labelOnly="1" grandRow="1" outline="0" fieldPosition="0"/>
    </format>
    <format dxfId="57">
      <pivotArea outline="0" collapsedLevelsAreSubtotals="1" fieldPosition="0">
        <references count="1">
          <reference field="4294967294" count="1" selected="0">
            <x v="0"/>
          </reference>
        </references>
      </pivotArea>
    </format>
    <format dxfId="56">
      <pivotArea dataOnly="0" labelOnly="1" outline="0" fieldPosition="0">
        <references count="1">
          <reference field="4294967294" count="1">
            <x v="0"/>
          </reference>
        </references>
      </pivotArea>
    </format>
    <format dxfId="55">
      <pivotArea outline="0" collapsedLevelsAreSubtotals="1" fieldPosition="0">
        <references count="1">
          <reference field="4294967294" count="1" selected="0">
            <x v="1"/>
          </reference>
        </references>
      </pivotArea>
    </format>
    <format dxfId="54">
      <pivotArea dataOnly="0" labelOnly="1" outline="0" fieldPosition="0">
        <references count="1">
          <reference field="4294967294" count="1">
            <x v="1"/>
          </reference>
        </references>
      </pivotArea>
    </format>
  </formats>
  <chartFormats count="2">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ABBE23-5D01-4304-9553-881CC3E7C795}" autoFormatId="16" applyNumberFormats="0" applyBorderFormats="0" applyFontFormats="0" applyPatternFormats="0" applyAlignmentFormats="0" applyWidthHeightFormats="0">
  <queryTableRefresh nextId="8">
    <queryTableFields count="7">
      <queryTableField id="1" name="batchid" tableColumnId="1"/>
      <queryTableField id="2" name="productname" tableColumnId="2"/>
      <queryTableField id="3" name="currentstock" tableColumnId="3"/>
      <queryTableField id="4" name="expirydate" tableColumnId="4"/>
      <queryTableField id="5" name="unitcost" tableColumnId="5"/>
      <queryTableField id="6" name="potentialrevenueloss" tableColumnId="6"/>
      <queryTableField id="7" name="expiryriskstatu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3C80E14-AF95-41EE-B669-E92D3DC4545F}" autoFormatId="16" applyNumberFormats="0" applyBorderFormats="0" applyFontFormats="0" applyPatternFormats="0" applyAlignmentFormats="0" applyWidthHeightFormats="0">
  <queryTableRefresh nextId="6">
    <queryTableFields count="5">
      <queryTableField id="1" name="productname" tableColumnId="1"/>
      <queryTableField id="2" name="facilityname" tableColumnId="2"/>
      <queryTableField id="3" name="totalsold_last30days" tableColumnId="3"/>
      <queryTableField id="4" name="currentstock" tableColumnId="4"/>
      <queryTableField id="5" name="sellthroughr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B7E0D3E-465C-4F16-BE47-A227AA28E15C}" autoFormatId="16" applyNumberFormats="0" applyBorderFormats="0" applyFontFormats="0" applyPatternFormats="0" applyAlignmentFormats="0" applyWidthHeightFormats="0">
  <queryTableRefresh nextId="4">
    <queryTableFields count="3">
      <queryTableField id="1" name="supplierid" tableColumnId="1"/>
      <queryTableField id="2" name="suppliername" tableColumnId="2"/>
      <queryTableField id="3" name="averageleadtime_day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ABDFE667-F5B2-4129-8C02-76720483C07D}" sourceName="productname">
  <pivotTables>
    <pivotTable tabId="6" name="PivotTable2"/>
  </pivotTables>
  <data>
    <tabular pivotCacheId="1601549062">
      <items count="100">
        <i x="70"/>
        <i x="81"/>
        <i x="53"/>
        <i x="9"/>
        <i x="57"/>
        <i x="17"/>
        <i x="41"/>
        <i x="3"/>
        <i x="61"/>
        <i x="13"/>
        <i x="91"/>
        <i x="6"/>
        <i x="48"/>
        <i x="1"/>
        <i x="67"/>
        <i x="52"/>
        <i x="42"/>
        <i x="38"/>
        <i x="87"/>
        <i x="69"/>
        <i x="29"/>
        <i x="84"/>
        <i x="62"/>
        <i x="88"/>
        <i x="54"/>
        <i x="12"/>
        <i x="19"/>
        <i x="47"/>
        <i x="92"/>
        <i x="86" s="1"/>
        <i x="45"/>
        <i x="66"/>
        <i x="74"/>
        <i x="46"/>
        <i x="25"/>
        <i x="95"/>
        <i x="65"/>
        <i x="23"/>
        <i x="63"/>
        <i x="59"/>
        <i x="85"/>
        <i x="58"/>
        <i x="8"/>
        <i x="37"/>
        <i x="93"/>
        <i x="5"/>
        <i x="79"/>
        <i x="64"/>
        <i x="16"/>
        <i x="49"/>
        <i x="72"/>
        <i x="55"/>
        <i x="73"/>
        <i x="0"/>
        <i x="28"/>
        <i x="90"/>
        <i x="60"/>
        <i x="39"/>
        <i x="24"/>
        <i x="98"/>
        <i x="68"/>
        <i x="94"/>
        <i x="51"/>
        <i x="44"/>
        <i x="36"/>
        <i x="89"/>
        <i x="78"/>
        <i x="21"/>
        <i x="26"/>
        <i x="97"/>
        <i x="31"/>
        <i x="35"/>
        <i x="56"/>
        <i x="4"/>
        <i x="75"/>
        <i x="18"/>
        <i x="96"/>
        <i x="15"/>
        <i x="14"/>
        <i x="7"/>
        <i x="82"/>
        <i x="27"/>
        <i x="83"/>
        <i x="20"/>
        <i x="80"/>
        <i x="34"/>
        <i x="33"/>
        <i x="22"/>
        <i x="99"/>
        <i x="43"/>
        <i x="32"/>
        <i x="2"/>
        <i x="76"/>
        <i x="40"/>
        <i x="50"/>
        <i x="71"/>
        <i x="10"/>
        <i x="77"/>
        <i x="11"/>
        <i x="3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name" xr10:uid="{75EBA714-32C8-4665-AFDB-D36BED8DAB8D}" sourceName="suppliername">
  <pivotTables>
    <pivotTable tabId="6" name="PivotTable3"/>
  </pivotTables>
  <data>
    <tabular pivotCacheId="1428755618">
      <items count="15">
        <i x="0"/>
        <i x="1"/>
        <i x="2"/>
        <i x="3"/>
        <i x="4"/>
        <i x="5"/>
        <i x="6"/>
        <i x="7" s="1"/>
        <i x="8"/>
        <i x="9"/>
        <i x="10"/>
        <i x="11"/>
        <i x="12"/>
        <i x="13"/>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D87F3431-2A1E-4D5B-A57F-DFFB0E6E1BD5}" cache="Slicer_productname" caption="productname" startItem="92" rowHeight="241300"/>
  <slicer name="suppliername" xr10:uid="{C4A803E1-CB1E-4F69-B2B8-BCF491FA1311}" cache="Slicer_suppliername" caption="suppliername" startItem="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BC8B7-AC57-4542-ADD2-470E3B12D37E}" name="Expiry_Risk_csv" displayName="Expiry_Risk_csv" ref="A1:G384" tableType="queryTable" totalsRowShown="0">
  <autoFilter ref="A1:G384" xr:uid="{5F9BC8B7-AC57-4542-ADD2-470E3B12D37E}"/>
  <tableColumns count="7">
    <tableColumn id="1" xr3:uid="{E6DF3D7B-DD1A-409A-AB8B-A64D1AE0E8EC}" uniqueName="1" name="batchid" queryTableFieldId="1" dataDxfId="79"/>
    <tableColumn id="2" xr3:uid="{AE746D60-BB6B-4FAF-A72A-D5E165CD7580}" uniqueName="2" name="productname" queryTableFieldId="2" dataDxfId="80"/>
    <tableColumn id="3" xr3:uid="{550A009F-B560-4DB1-9903-FC51CE108B3E}" uniqueName="3" name="currentstock" queryTableFieldId="3" dataDxfId="81"/>
    <tableColumn id="4" xr3:uid="{3CE2D385-D87C-4268-9514-B89D2A86C37C}" uniqueName="4" name="expirydate" queryTableFieldId="4" dataDxfId="82"/>
    <tableColumn id="5" xr3:uid="{B13EF744-ACFE-4FA1-A23C-E9706EC7F3E9}" uniqueName="5" name="unitcost" queryTableFieldId="5" dataDxfId="83"/>
    <tableColumn id="6" xr3:uid="{69F0DC8B-73A9-457B-A1F2-388B36BAA77A}" uniqueName="6" name="potentialrevenueloss" queryTableFieldId="6" dataDxfId="84"/>
    <tableColumn id="7" xr3:uid="{227ADC47-3E37-4001-97C6-34AE0D3D93CE}" uniqueName="7" name="expiryriskstatus" queryTableFieldId="7"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0036A6-65CF-449A-8203-72BD21E49D05}" name="Stock_Analysis_csv" displayName="Stock_Analysis_csv" ref="A1:E774" tableType="queryTable" totalsRowShown="0">
  <autoFilter ref="A1:E774" xr:uid="{1B0036A6-65CF-449A-8203-72BD21E49D05}"/>
  <tableColumns count="5">
    <tableColumn id="1" xr3:uid="{7FE4E6DF-A776-4342-8DD0-A77FD789A49F}" uniqueName="1" name="productname" queryTableFieldId="1" dataDxfId="78"/>
    <tableColumn id="2" xr3:uid="{E142FF88-AE22-43F5-99A5-F7C9718FE269}" uniqueName="2" name="facilityname" queryTableFieldId="2" dataDxfId="77"/>
    <tableColumn id="3" xr3:uid="{15E4C44F-94A0-465F-8D4F-899A8B1DC27C}" uniqueName="3" name="totalsold_last30days" queryTableFieldId="3" dataDxfId="76"/>
    <tableColumn id="4" xr3:uid="{385EE7CF-CC29-47C7-84C4-A33881001264}" uniqueName="4" name="currentstock" queryTableFieldId="4" dataDxfId="75"/>
    <tableColumn id="5" xr3:uid="{D94792E8-4CF7-4FA7-9110-DEAE56F7FD31}" uniqueName="5" name="sellthroughrate" queryTableFieldId="5" dataDxfId="7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5166D0-FFBE-493D-8AE2-1F3F140CDFBA}" name="Supplier_Lead_Times_csv" displayName="Supplier_Lead_Times_csv" ref="A1:C16" tableType="queryTable" totalsRowShown="0">
  <autoFilter ref="A1:C16" xr:uid="{495166D0-FFBE-493D-8AE2-1F3F140CDFBA}"/>
  <tableColumns count="3">
    <tableColumn id="1" xr3:uid="{ACF447A1-ECCF-4BF8-990B-B498E45A8037}" uniqueName="1" name="supplierid" queryTableFieldId="1" dataDxfId="73"/>
    <tableColumn id="2" xr3:uid="{6561A874-8EC5-4125-8109-A18E29F459CB}" uniqueName="2" name="suppliername" queryTableFieldId="2" dataDxfId="72"/>
    <tableColumn id="3" xr3:uid="{3B7406B1-2E46-40DE-8BE3-7361F222EA10}" uniqueName="3" name="averageleadtime_days" queryTableFieldId="3" dataDxfId="7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7D66A0-3C60-4BF5-B8EF-D5B2A2247A15}" name="Table4" displayName="Table4" ref="A10:D20" totalsRowShown="0" headerRowDxfId="87">
  <autoFilter ref="A10:D20" xr:uid="{177D66A0-3C60-4BF5-B8EF-D5B2A2247A15}"/>
  <tableColumns count="4">
    <tableColumn id="1" xr3:uid="{6A47724C-352D-4C1B-BC14-07AC3333F549}" name="Product Name" dataDxfId="64">
      <calculatedColumnFormula>Data_expiry!B2</calculatedColumnFormula>
    </tableColumn>
    <tableColumn id="2" xr3:uid="{640F6430-F5EC-43EA-A0BD-C7828FDB8A2F}" name="Current Stock" dataDxfId="63">
      <calculatedColumnFormula>Data_expiry!C2</calculatedColumnFormula>
    </tableColumn>
    <tableColumn id="3" xr3:uid="{4506E6D0-4EAB-494E-B8A4-93446288E38B}" name="Expiry Date" dataDxfId="62">
      <calculatedColumnFormula>Data_expiry!D2</calculatedColumnFormula>
    </tableColumn>
    <tableColumn id="4" xr3:uid="{103D24BC-506F-413C-899A-A25A4407002F}" name="Risk Status" dataDxfId="61">
      <calculatedColumnFormula>Data_expiry!G2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5FE55-C2C3-4283-918F-2F8C7C454479}">
  <dimension ref="A1:G384"/>
  <sheetViews>
    <sheetView zoomScale="79" workbookViewId="0"/>
  </sheetViews>
  <sheetFormatPr defaultRowHeight="14.25" x14ac:dyDescent="0.45"/>
  <cols>
    <col min="1" max="1" width="9" style="1" bestFit="1" customWidth="1"/>
    <col min="2" max="2" width="13.9296875" style="1" bestFit="1" customWidth="1"/>
    <col min="3" max="3" width="13.1328125" style="1" bestFit="1" customWidth="1"/>
    <col min="4" max="4" width="11.59765625" style="1" bestFit="1" customWidth="1"/>
    <col min="5" max="5" width="9.53125" style="1" bestFit="1" customWidth="1"/>
    <col min="6" max="6" width="20.33203125" bestFit="1" customWidth="1"/>
    <col min="7" max="7" width="17.3984375" style="1" bestFit="1" customWidth="1"/>
  </cols>
  <sheetData>
    <row r="1" spans="1:7" x14ac:dyDescent="0.45">
      <c r="A1" s="1" t="s">
        <v>0</v>
      </c>
      <c r="B1" s="1" t="s">
        <v>1</v>
      </c>
      <c r="C1" s="1" t="s">
        <v>2</v>
      </c>
      <c r="D1" s="1" t="s">
        <v>3</v>
      </c>
      <c r="E1" s="1" t="s">
        <v>4</v>
      </c>
      <c r="F1" t="s">
        <v>5</v>
      </c>
      <c r="G1" s="1" t="s">
        <v>6</v>
      </c>
    </row>
    <row r="2" spans="1:7" x14ac:dyDescent="0.45">
      <c r="A2" s="2" t="s">
        <v>7</v>
      </c>
      <c r="B2" s="2" t="s">
        <v>8</v>
      </c>
      <c r="C2" s="1">
        <v>218</v>
      </c>
      <c r="D2" s="3">
        <v>46185</v>
      </c>
      <c r="E2" s="1">
        <v>48.7</v>
      </c>
      <c r="F2" s="1">
        <v>10616.6</v>
      </c>
      <c r="G2" s="2" t="s">
        <v>9</v>
      </c>
    </row>
    <row r="3" spans="1:7" x14ac:dyDescent="0.45">
      <c r="A3" s="2" t="s">
        <v>10</v>
      </c>
      <c r="B3" s="2" t="s">
        <v>11</v>
      </c>
      <c r="C3" s="1">
        <v>339</v>
      </c>
      <c r="D3" s="3">
        <v>46187</v>
      </c>
      <c r="E3" s="1">
        <v>24.04</v>
      </c>
      <c r="F3" s="1">
        <v>8149.56</v>
      </c>
      <c r="G3" s="2" t="s">
        <v>9</v>
      </c>
    </row>
    <row r="4" spans="1:7" x14ac:dyDescent="0.45">
      <c r="A4" s="2" t="s">
        <v>12</v>
      </c>
      <c r="B4" s="2" t="s">
        <v>13</v>
      </c>
      <c r="C4" s="1">
        <v>204</v>
      </c>
      <c r="D4" s="3">
        <v>46187</v>
      </c>
      <c r="E4" s="1">
        <v>34.33</v>
      </c>
      <c r="F4" s="1">
        <v>7003.32</v>
      </c>
      <c r="G4" s="2" t="s">
        <v>9</v>
      </c>
    </row>
    <row r="5" spans="1:7" x14ac:dyDescent="0.45">
      <c r="A5" s="2" t="s">
        <v>14</v>
      </c>
      <c r="B5" s="2" t="s">
        <v>11</v>
      </c>
      <c r="C5" s="1">
        <v>357</v>
      </c>
      <c r="D5" s="3">
        <v>46193</v>
      </c>
      <c r="E5" s="1">
        <v>24.04</v>
      </c>
      <c r="F5" s="1">
        <v>8582.2800000000007</v>
      </c>
      <c r="G5" s="2" t="s">
        <v>9</v>
      </c>
    </row>
    <row r="6" spans="1:7" x14ac:dyDescent="0.45">
      <c r="A6" s="2" t="s">
        <v>15</v>
      </c>
      <c r="B6" s="2" t="s">
        <v>16</v>
      </c>
      <c r="C6" s="1">
        <v>353</v>
      </c>
      <c r="D6" s="3">
        <v>46194</v>
      </c>
      <c r="E6" s="1">
        <v>46.55</v>
      </c>
      <c r="F6" s="1">
        <v>16432.150000000001</v>
      </c>
      <c r="G6" s="2" t="s">
        <v>9</v>
      </c>
    </row>
    <row r="7" spans="1:7" x14ac:dyDescent="0.45">
      <c r="A7" s="2" t="s">
        <v>17</v>
      </c>
      <c r="B7" s="2" t="s">
        <v>11</v>
      </c>
      <c r="C7" s="1">
        <v>349</v>
      </c>
      <c r="D7" s="3">
        <v>46195</v>
      </c>
      <c r="E7" s="1">
        <v>24.04</v>
      </c>
      <c r="F7" s="1">
        <v>8389.9599999999991</v>
      </c>
      <c r="G7" s="2" t="s">
        <v>9</v>
      </c>
    </row>
    <row r="8" spans="1:7" x14ac:dyDescent="0.45">
      <c r="A8" s="2" t="s">
        <v>18</v>
      </c>
      <c r="B8" s="2" t="s">
        <v>19</v>
      </c>
      <c r="C8" s="1">
        <v>183</v>
      </c>
      <c r="D8" s="3">
        <v>46200</v>
      </c>
      <c r="E8" s="1">
        <v>5.01</v>
      </c>
      <c r="F8" s="1">
        <v>916.83</v>
      </c>
      <c r="G8" s="2" t="s">
        <v>9</v>
      </c>
    </row>
    <row r="9" spans="1:7" x14ac:dyDescent="0.45">
      <c r="A9" s="2" t="s">
        <v>20</v>
      </c>
      <c r="B9" s="2" t="s">
        <v>21</v>
      </c>
      <c r="C9" s="1">
        <v>764</v>
      </c>
      <c r="D9" s="3">
        <v>46208</v>
      </c>
      <c r="E9" s="1">
        <v>35.72</v>
      </c>
      <c r="F9" s="1">
        <v>27290.080000000002</v>
      </c>
      <c r="G9" s="2" t="s">
        <v>9</v>
      </c>
    </row>
    <row r="10" spans="1:7" x14ac:dyDescent="0.45">
      <c r="A10" s="2" t="s">
        <v>22</v>
      </c>
      <c r="B10" s="2" t="s">
        <v>23</v>
      </c>
      <c r="C10" s="1">
        <v>126</v>
      </c>
      <c r="D10" s="3">
        <v>46209</v>
      </c>
      <c r="E10" s="1">
        <v>49.5</v>
      </c>
      <c r="F10" s="1">
        <v>6237</v>
      </c>
      <c r="G10" s="2" t="s">
        <v>9</v>
      </c>
    </row>
    <row r="11" spans="1:7" x14ac:dyDescent="0.45">
      <c r="A11" s="2" t="s">
        <v>24</v>
      </c>
      <c r="B11" s="2" t="s">
        <v>25</v>
      </c>
      <c r="C11" s="1">
        <v>363</v>
      </c>
      <c r="D11" s="3">
        <v>46210</v>
      </c>
      <c r="E11" s="1">
        <v>43.52</v>
      </c>
      <c r="F11" s="1">
        <v>15797.76</v>
      </c>
      <c r="G11" s="2" t="s">
        <v>9</v>
      </c>
    </row>
    <row r="12" spans="1:7" x14ac:dyDescent="0.45">
      <c r="A12" s="2" t="s">
        <v>26</v>
      </c>
      <c r="B12" s="2" t="s">
        <v>27</v>
      </c>
      <c r="C12" s="1">
        <v>77</v>
      </c>
      <c r="D12" s="3">
        <v>46213</v>
      </c>
      <c r="E12" s="1">
        <v>38.630000000000003</v>
      </c>
      <c r="F12" s="1">
        <v>2974.51</v>
      </c>
      <c r="G12" s="2" t="s">
        <v>9</v>
      </c>
    </row>
    <row r="13" spans="1:7" x14ac:dyDescent="0.45">
      <c r="A13" s="2" t="s">
        <v>28</v>
      </c>
      <c r="B13" s="2" t="s">
        <v>29</v>
      </c>
      <c r="C13" s="1">
        <v>330</v>
      </c>
      <c r="D13" s="3">
        <v>46215</v>
      </c>
      <c r="E13" s="1">
        <v>36.979999999999997</v>
      </c>
      <c r="F13" s="1">
        <v>12203.4</v>
      </c>
      <c r="G13" s="2" t="s">
        <v>9</v>
      </c>
    </row>
    <row r="14" spans="1:7" x14ac:dyDescent="0.45">
      <c r="A14" s="2" t="s">
        <v>30</v>
      </c>
      <c r="B14" s="2" t="s">
        <v>31</v>
      </c>
      <c r="C14" s="1">
        <v>30</v>
      </c>
      <c r="D14" s="3">
        <v>46216</v>
      </c>
      <c r="E14" s="1">
        <v>28.86</v>
      </c>
      <c r="F14" s="1">
        <v>865.8</v>
      </c>
      <c r="G14" s="2" t="s">
        <v>9</v>
      </c>
    </row>
    <row r="15" spans="1:7" x14ac:dyDescent="0.45">
      <c r="A15" s="2" t="s">
        <v>32</v>
      </c>
      <c r="B15" s="2" t="s">
        <v>33</v>
      </c>
      <c r="C15" s="1">
        <v>757</v>
      </c>
      <c r="D15" s="3">
        <v>46220</v>
      </c>
      <c r="E15" s="1">
        <v>27.62</v>
      </c>
      <c r="F15" s="1">
        <v>20908.34</v>
      </c>
      <c r="G15" s="2" t="s">
        <v>9</v>
      </c>
    </row>
    <row r="16" spans="1:7" x14ac:dyDescent="0.45">
      <c r="A16" s="2" t="s">
        <v>34</v>
      </c>
      <c r="B16" s="2" t="s">
        <v>35</v>
      </c>
      <c r="C16" s="1">
        <v>23</v>
      </c>
      <c r="D16" s="3">
        <v>46220</v>
      </c>
      <c r="E16" s="1">
        <v>31.68</v>
      </c>
      <c r="F16" s="1">
        <v>728.64</v>
      </c>
      <c r="G16" s="2" t="s">
        <v>9</v>
      </c>
    </row>
    <row r="17" spans="1:7" x14ac:dyDescent="0.45">
      <c r="A17" s="2" t="s">
        <v>36</v>
      </c>
      <c r="B17" s="2" t="s">
        <v>37</v>
      </c>
      <c r="C17" s="1">
        <v>400</v>
      </c>
      <c r="D17" s="3">
        <v>46220</v>
      </c>
      <c r="E17" s="1">
        <v>34.28</v>
      </c>
      <c r="F17" s="1">
        <v>13712</v>
      </c>
      <c r="G17" s="2" t="s">
        <v>9</v>
      </c>
    </row>
    <row r="18" spans="1:7" x14ac:dyDescent="0.45">
      <c r="A18" s="2" t="s">
        <v>38</v>
      </c>
      <c r="B18" s="2" t="s">
        <v>39</v>
      </c>
      <c r="C18" s="1">
        <v>423</v>
      </c>
      <c r="D18" s="3">
        <v>46221</v>
      </c>
      <c r="E18" s="1">
        <v>36.47</v>
      </c>
      <c r="F18" s="1">
        <v>15426.81</v>
      </c>
      <c r="G18" s="2" t="s">
        <v>9</v>
      </c>
    </row>
    <row r="19" spans="1:7" x14ac:dyDescent="0.45">
      <c r="A19" s="2" t="s">
        <v>40</v>
      </c>
      <c r="B19" s="2" t="s">
        <v>41</v>
      </c>
      <c r="C19" s="1">
        <v>7</v>
      </c>
      <c r="D19" s="3">
        <v>46226</v>
      </c>
      <c r="E19" s="1">
        <v>2.4700000000000002</v>
      </c>
      <c r="F19" s="1">
        <v>17.29</v>
      </c>
      <c r="G19" s="2" t="s">
        <v>9</v>
      </c>
    </row>
    <row r="20" spans="1:7" x14ac:dyDescent="0.45">
      <c r="A20" s="2" t="s">
        <v>42</v>
      </c>
      <c r="B20" s="2" t="s">
        <v>43</v>
      </c>
      <c r="C20" s="1">
        <v>175</v>
      </c>
      <c r="D20" s="3">
        <v>46227</v>
      </c>
      <c r="E20" s="1">
        <v>44.81</v>
      </c>
      <c r="F20" s="1">
        <v>7841.75</v>
      </c>
      <c r="G20" s="2" t="s">
        <v>9</v>
      </c>
    </row>
    <row r="21" spans="1:7" x14ac:dyDescent="0.45">
      <c r="A21" s="2" t="s">
        <v>44</v>
      </c>
      <c r="B21" s="2" t="s">
        <v>19</v>
      </c>
      <c r="C21" s="1">
        <v>96</v>
      </c>
      <c r="D21" s="3">
        <v>46228</v>
      </c>
      <c r="E21" s="1">
        <v>5.01</v>
      </c>
      <c r="F21" s="1">
        <v>480.96</v>
      </c>
      <c r="G21" s="2" t="s">
        <v>9</v>
      </c>
    </row>
    <row r="22" spans="1:7" x14ac:dyDescent="0.45">
      <c r="A22" s="2" t="s">
        <v>45</v>
      </c>
      <c r="B22" s="2" t="s">
        <v>25</v>
      </c>
      <c r="C22" s="1">
        <v>241</v>
      </c>
      <c r="D22" s="3">
        <v>46229</v>
      </c>
      <c r="E22" s="1">
        <v>43.52</v>
      </c>
      <c r="F22" s="1">
        <v>10488.32</v>
      </c>
      <c r="G22" s="2" t="s">
        <v>9</v>
      </c>
    </row>
    <row r="23" spans="1:7" x14ac:dyDescent="0.45">
      <c r="A23" s="2" t="s">
        <v>46</v>
      </c>
      <c r="B23" s="2" t="s">
        <v>47</v>
      </c>
      <c r="C23" s="1">
        <v>234</v>
      </c>
      <c r="D23" s="3">
        <v>46230</v>
      </c>
      <c r="E23" s="1">
        <v>7.51</v>
      </c>
      <c r="F23" s="1">
        <v>1757.34</v>
      </c>
      <c r="G23" s="2" t="s">
        <v>9</v>
      </c>
    </row>
    <row r="24" spans="1:7" x14ac:dyDescent="0.45">
      <c r="A24" s="2" t="s">
        <v>48</v>
      </c>
      <c r="B24" s="2" t="s">
        <v>49</v>
      </c>
      <c r="C24" s="1">
        <v>767</v>
      </c>
      <c r="D24" s="3">
        <v>46233</v>
      </c>
      <c r="E24" s="1">
        <v>21.95</v>
      </c>
      <c r="F24" s="1">
        <v>16835.650000000001</v>
      </c>
      <c r="G24" s="2" t="s">
        <v>9</v>
      </c>
    </row>
    <row r="25" spans="1:7" x14ac:dyDescent="0.45">
      <c r="A25" s="2" t="s">
        <v>50</v>
      </c>
      <c r="B25" s="2" t="s">
        <v>51</v>
      </c>
      <c r="C25" s="1">
        <v>267</v>
      </c>
      <c r="D25" s="3">
        <v>46233</v>
      </c>
      <c r="E25" s="1">
        <v>3.18</v>
      </c>
      <c r="F25" s="1">
        <v>849.06</v>
      </c>
      <c r="G25" s="2" t="s">
        <v>9</v>
      </c>
    </row>
    <row r="26" spans="1:7" x14ac:dyDescent="0.45">
      <c r="A26" s="2" t="s">
        <v>52</v>
      </c>
      <c r="B26" s="2" t="s">
        <v>53</v>
      </c>
      <c r="C26" s="1">
        <v>72</v>
      </c>
      <c r="D26" s="3">
        <v>46234</v>
      </c>
      <c r="E26" s="1">
        <v>24.65</v>
      </c>
      <c r="F26" s="1">
        <v>1774.8</v>
      </c>
      <c r="G26" s="2" t="s">
        <v>9</v>
      </c>
    </row>
    <row r="27" spans="1:7" x14ac:dyDescent="0.45">
      <c r="A27" s="2" t="s">
        <v>54</v>
      </c>
      <c r="B27" s="2" t="s">
        <v>55</v>
      </c>
      <c r="C27" s="1">
        <v>505</v>
      </c>
      <c r="D27" s="3">
        <v>46237</v>
      </c>
      <c r="E27" s="1">
        <v>31.22</v>
      </c>
      <c r="F27" s="1">
        <v>15766.1</v>
      </c>
      <c r="G27" s="2" t="s">
        <v>9</v>
      </c>
    </row>
    <row r="28" spans="1:7" x14ac:dyDescent="0.45">
      <c r="A28" s="2" t="s">
        <v>56</v>
      </c>
      <c r="B28" s="2" t="s">
        <v>57</v>
      </c>
      <c r="C28" s="1">
        <v>267</v>
      </c>
      <c r="D28" s="3">
        <v>46239</v>
      </c>
      <c r="E28" s="1">
        <v>3.69</v>
      </c>
      <c r="F28" s="1">
        <v>985.23</v>
      </c>
      <c r="G28" s="2" t="s">
        <v>9</v>
      </c>
    </row>
    <row r="29" spans="1:7" x14ac:dyDescent="0.45">
      <c r="A29" s="2" t="s">
        <v>58</v>
      </c>
      <c r="B29" s="2" t="s">
        <v>59</v>
      </c>
      <c r="C29" s="1">
        <v>349</v>
      </c>
      <c r="D29" s="3">
        <v>46240</v>
      </c>
      <c r="E29" s="1">
        <v>19.579999999999998</v>
      </c>
      <c r="F29" s="1">
        <v>6833.42</v>
      </c>
      <c r="G29" s="2" t="s">
        <v>9</v>
      </c>
    </row>
    <row r="30" spans="1:7" x14ac:dyDescent="0.45">
      <c r="A30" s="2" t="s">
        <v>60</v>
      </c>
      <c r="B30" s="2" t="s">
        <v>61</v>
      </c>
      <c r="C30" s="1">
        <v>30</v>
      </c>
      <c r="D30" s="3">
        <v>46241</v>
      </c>
      <c r="E30" s="1">
        <v>1.94</v>
      </c>
      <c r="F30" s="1">
        <v>58.2</v>
      </c>
      <c r="G30" s="2" t="s">
        <v>9</v>
      </c>
    </row>
    <row r="31" spans="1:7" x14ac:dyDescent="0.45">
      <c r="A31" s="2" t="s">
        <v>62</v>
      </c>
      <c r="B31" s="2" t="s">
        <v>63</v>
      </c>
      <c r="C31" s="1">
        <v>524</v>
      </c>
      <c r="D31" s="3">
        <v>46242</v>
      </c>
      <c r="E31" s="1">
        <v>46.81</v>
      </c>
      <c r="F31" s="1">
        <v>24528.44</v>
      </c>
      <c r="G31" s="2" t="s">
        <v>9</v>
      </c>
    </row>
    <row r="32" spans="1:7" x14ac:dyDescent="0.45">
      <c r="A32" s="2" t="s">
        <v>64</v>
      </c>
      <c r="B32" s="2" t="s">
        <v>51</v>
      </c>
      <c r="C32" s="1">
        <v>88</v>
      </c>
      <c r="D32" s="3">
        <v>46243</v>
      </c>
      <c r="E32" s="1">
        <v>3.18</v>
      </c>
      <c r="F32" s="1">
        <v>279.83999999999997</v>
      </c>
      <c r="G32" s="2" t="s">
        <v>9</v>
      </c>
    </row>
    <row r="33" spans="1:7" x14ac:dyDescent="0.45">
      <c r="A33" s="2" t="s">
        <v>65</v>
      </c>
      <c r="B33" s="2" t="s">
        <v>66</v>
      </c>
      <c r="C33" s="1">
        <v>223</v>
      </c>
      <c r="D33" s="3">
        <v>46243</v>
      </c>
      <c r="E33" s="1">
        <v>48.75</v>
      </c>
      <c r="F33" s="1">
        <v>10871.25</v>
      </c>
      <c r="G33" s="2" t="s">
        <v>9</v>
      </c>
    </row>
    <row r="34" spans="1:7" x14ac:dyDescent="0.45">
      <c r="A34" s="2" t="s">
        <v>67</v>
      </c>
      <c r="B34" s="2" t="s">
        <v>33</v>
      </c>
      <c r="C34" s="1">
        <v>155</v>
      </c>
      <c r="D34" s="3">
        <v>46246</v>
      </c>
      <c r="E34" s="1">
        <v>27.62</v>
      </c>
      <c r="F34" s="1">
        <v>4281.1000000000004</v>
      </c>
      <c r="G34" s="2" t="s">
        <v>9</v>
      </c>
    </row>
    <row r="35" spans="1:7" x14ac:dyDescent="0.45">
      <c r="A35" s="2" t="s">
        <v>68</v>
      </c>
      <c r="B35" s="2" t="s">
        <v>69</v>
      </c>
      <c r="C35" s="1">
        <v>22</v>
      </c>
      <c r="D35" s="3">
        <v>46248</v>
      </c>
      <c r="E35" s="1">
        <v>31.82</v>
      </c>
      <c r="F35" s="1">
        <v>700.04</v>
      </c>
      <c r="G35" s="2" t="s">
        <v>9</v>
      </c>
    </row>
    <row r="36" spans="1:7" x14ac:dyDescent="0.45">
      <c r="A36" s="2" t="s">
        <v>70</v>
      </c>
      <c r="B36" s="2" t="s">
        <v>71</v>
      </c>
      <c r="C36" s="1">
        <v>181</v>
      </c>
      <c r="D36" s="3">
        <v>46251</v>
      </c>
      <c r="E36" s="1">
        <v>1.84</v>
      </c>
      <c r="F36" s="1">
        <v>333.04</v>
      </c>
      <c r="G36" s="2" t="s">
        <v>9</v>
      </c>
    </row>
    <row r="37" spans="1:7" x14ac:dyDescent="0.45">
      <c r="A37" s="2" t="s">
        <v>72</v>
      </c>
      <c r="B37" s="2" t="s">
        <v>73</v>
      </c>
      <c r="C37" s="1">
        <v>521</v>
      </c>
      <c r="D37" s="3">
        <v>46254</v>
      </c>
      <c r="E37" s="1">
        <v>2.81</v>
      </c>
      <c r="F37" s="1">
        <v>1464.01</v>
      </c>
      <c r="G37" s="2" t="s">
        <v>9</v>
      </c>
    </row>
    <row r="38" spans="1:7" x14ac:dyDescent="0.45">
      <c r="A38" s="2" t="s">
        <v>74</v>
      </c>
      <c r="B38" s="2" t="s">
        <v>75</v>
      </c>
      <c r="C38" s="1">
        <v>89</v>
      </c>
      <c r="D38" s="3">
        <v>46256</v>
      </c>
      <c r="E38" s="1">
        <v>5.28</v>
      </c>
      <c r="F38" s="1">
        <v>469.92</v>
      </c>
      <c r="G38" s="2" t="s">
        <v>9</v>
      </c>
    </row>
    <row r="39" spans="1:7" x14ac:dyDescent="0.45">
      <c r="A39" s="2" t="s">
        <v>76</v>
      </c>
      <c r="B39" s="2" t="s">
        <v>77</v>
      </c>
      <c r="C39" s="1">
        <v>92</v>
      </c>
      <c r="D39" s="3">
        <v>46259</v>
      </c>
      <c r="E39" s="1">
        <v>43.14</v>
      </c>
      <c r="F39" s="1">
        <v>3968.88</v>
      </c>
      <c r="G39" s="2" t="s">
        <v>9</v>
      </c>
    </row>
    <row r="40" spans="1:7" x14ac:dyDescent="0.45">
      <c r="A40" s="2" t="s">
        <v>78</v>
      </c>
      <c r="B40" s="2" t="s">
        <v>79</v>
      </c>
      <c r="C40" s="1">
        <v>83</v>
      </c>
      <c r="D40" s="3">
        <v>46266</v>
      </c>
      <c r="E40" s="1">
        <v>42.2</v>
      </c>
      <c r="F40" s="1">
        <v>3502.6</v>
      </c>
      <c r="G40" s="2" t="s">
        <v>9</v>
      </c>
    </row>
    <row r="41" spans="1:7" x14ac:dyDescent="0.45">
      <c r="A41" s="2" t="s">
        <v>80</v>
      </c>
      <c r="B41" s="2" t="s">
        <v>11</v>
      </c>
      <c r="C41" s="1">
        <v>49</v>
      </c>
      <c r="D41" s="3">
        <v>46267</v>
      </c>
      <c r="E41" s="1">
        <v>24.04</v>
      </c>
      <c r="F41" s="1">
        <v>1177.96</v>
      </c>
      <c r="G41" s="2" t="s">
        <v>9</v>
      </c>
    </row>
    <row r="42" spans="1:7" x14ac:dyDescent="0.45">
      <c r="A42" s="2" t="s">
        <v>81</v>
      </c>
      <c r="B42" s="2" t="s">
        <v>82</v>
      </c>
      <c r="C42" s="1">
        <v>135</v>
      </c>
      <c r="D42" s="3">
        <v>46270</v>
      </c>
      <c r="E42" s="1">
        <v>18</v>
      </c>
      <c r="F42" s="1">
        <v>2430</v>
      </c>
      <c r="G42" s="2" t="s">
        <v>9</v>
      </c>
    </row>
    <row r="43" spans="1:7" x14ac:dyDescent="0.45">
      <c r="A43" s="2" t="s">
        <v>83</v>
      </c>
      <c r="B43" s="2" t="s">
        <v>84</v>
      </c>
      <c r="C43" s="1">
        <v>546</v>
      </c>
      <c r="D43" s="3">
        <v>46273</v>
      </c>
      <c r="E43" s="1">
        <v>45.95</v>
      </c>
      <c r="F43" s="1">
        <v>25088.7</v>
      </c>
      <c r="G43" s="2" t="s">
        <v>9</v>
      </c>
    </row>
    <row r="44" spans="1:7" x14ac:dyDescent="0.45">
      <c r="A44" s="2" t="s">
        <v>85</v>
      </c>
      <c r="B44" s="2" t="s">
        <v>86</v>
      </c>
      <c r="C44" s="1">
        <v>221</v>
      </c>
      <c r="D44" s="3">
        <v>46275</v>
      </c>
      <c r="E44" s="1">
        <v>3.74</v>
      </c>
      <c r="F44" s="1">
        <v>826.54</v>
      </c>
      <c r="G44" s="2" t="s">
        <v>9</v>
      </c>
    </row>
    <row r="45" spans="1:7" x14ac:dyDescent="0.45">
      <c r="A45" s="2" t="s">
        <v>87</v>
      </c>
      <c r="B45" s="2" t="s">
        <v>66</v>
      </c>
      <c r="C45" s="1">
        <v>576</v>
      </c>
      <c r="D45" s="3">
        <v>46275</v>
      </c>
      <c r="E45" s="1">
        <v>48.75</v>
      </c>
      <c r="F45" s="1">
        <v>28080</v>
      </c>
      <c r="G45" s="2" t="s">
        <v>9</v>
      </c>
    </row>
    <row r="46" spans="1:7" x14ac:dyDescent="0.45">
      <c r="A46" s="2" t="s">
        <v>88</v>
      </c>
      <c r="B46" s="2" t="s">
        <v>89</v>
      </c>
      <c r="C46" s="1">
        <v>239</v>
      </c>
      <c r="D46" s="3">
        <v>46275</v>
      </c>
      <c r="E46" s="1">
        <v>15.09</v>
      </c>
      <c r="F46" s="1">
        <v>3606.51</v>
      </c>
      <c r="G46" s="2" t="s">
        <v>9</v>
      </c>
    </row>
    <row r="47" spans="1:7" x14ac:dyDescent="0.45">
      <c r="A47" s="2" t="s">
        <v>90</v>
      </c>
      <c r="B47" s="2" t="s">
        <v>91</v>
      </c>
      <c r="C47" s="1">
        <v>263</v>
      </c>
      <c r="D47" s="3">
        <v>46276</v>
      </c>
      <c r="E47" s="1">
        <v>16.03</v>
      </c>
      <c r="F47" s="1">
        <v>4215.8900000000003</v>
      </c>
      <c r="G47" s="2" t="s">
        <v>9</v>
      </c>
    </row>
    <row r="48" spans="1:7" x14ac:dyDescent="0.45">
      <c r="A48" s="2" t="s">
        <v>92</v>
      </c>
      <c r="B48" s="2" t="s">
        <v>86</v>
      </c>
      <c r="C48" s="1">
        <v>213</v>
      </c>
      <c r="D48" s="3">
        <v>46277</v>
      </c>
      <c r="E48" s="1">
        <v>3.74</v>
      </c>
      <c r="F48" s="1">
        <v>796.62</v>
      </c>
      <c r="G48" s="2" t="s">
        <v>9</v>
      </c>
    </row>
    <row r="49" spans="1:7" x14ac:dyDescent="0.45">
      <c r="A49" s="2" t="s">
        <v>93</v>
      </c>
      <c r="B49" s="2" t="s">
        <v>94</v>
      </c>
      <c r="C49" s="1">
        <v>190</v>
      </c>
      <c r="D49" s="3">
        <v>46279</v>
      </c>
      <c r="E49" s="1">
        <v>17.18</v>
      </c>
      <c r="F49" s="1">
        <v>3264.2</v>
      </c>
      <c r="G49" s="2" t="s">
        <v>9</v>
      </c>
    </row>
    <row r="50" spans="1:7" x14ac:dyDescent="0.45">
      <c r="A50" s="2" t="s">
        <v>95</v>
      </c>
      <c r="B50" s="2" t="s">
        <v>96</v>
      </c>
      <c r="C50" s="1">
        <v>179</v>
      </c>
      <c r="D50" s="3">
        <v>46280</v>
      </c>
      <c r="E50" s="1">
        <v>26.31</v>
      </c>
      <c r="F50" s="1">
        <v>4709.49</v>
      </c>
      <c r="G50" s="2" t="s">
        <v>9</v>
      </c>
    </row>
    <row r="51" spans="1:7" x14ac:dyDescent="0.45">
      <c r="A51" s="2" t="s">
        <v>97</v>
      </c>
      <c r="B51" s="2" t="s">
        <v>39</v>
      </c>
      <c r="C51" s="1">
        <v>43</v>
      </c>
      <c r="D51" s="3">
        <v>46281</v>
      </c>
      <c r="E51" s="1">
        <v>36.47</v>
      </c>
      <c r="F51" s="1">
        <v>1568.21</v>
      </c>
      <c r="G51" s="2" t="s">
        <v>9</v>
      </c>
    </row>
    <row r="52" spans="1:7" x14ac:dyDescent="0.45">
      <c r="A52" s="2" t="s">
        <v>98</v>
      </c>
      <c r="B52" s="2" t="s">
        <v>99</v>
      </c>
      <c r="C52" s="1">
        <v>12</v>
      </c>
      <c r="D52" s="3">
        <v>46286</v>
      </c>
      <c r="E52" s="1">
        <v>28.16</v>
      </c>
      <c r="F52" s="1">
        <v>337.92</v>
      </c>
      <c r="G52" s="2" t="s">
        <v>9</v>
      </c>
    </row>
    <row r="53" spans="1:7" x14ac:dyDescent="0.45">
      <c r="A53" s="2" t="s">
        <v>100</v>
      </c>
      <c r="B53" s="2" t="s">
        <v>71</v>
      </c>
      <c r="C53" s="1">
        <v>346</v>
      </c>
      <c r="D53" s="3">
        <v>46286</v>
      </c>
      <c r="E53" s="1">
        <v>1.84</v>
      </c>
      <c r="F53" s="1">
        <v>636.64</v>
      </c>
      <c r="G53" s="2" t="s">
        <v>9</v>
      </c>
    </row>
    <row r="54" spans="1:7" x14ac:dyDescent="0.45">
      <c r="A54" s="2" t="s">
        <v>101</v>
      </c>
      <c r="B54" s="2" t="s">
        <v>102</v>
      </c>
      <c r="C54" s="1">
        <v>429</v>
      </c>
      <c r="D54" s="3">
        <v>46286</v>
      </c>
      <c r="E54" s="1">
        <v>44.95</v>
      </c>
      <c r="F54" s="1">
        <v>19283.55</v>
      </c>
      <c r="G54" s="2" t="s">
        <v>9</v>
      </c>
    </row>
    <row r="55" spans="1:7" x14ac:dyDescent="0.45">
      <c r="A55" s="2" t="s">
        <v>103</v>
      </c>
      <c r="B55" s="2" t="s">
        <v>104</v>
      </c>
      <c r="C55" s="1">
        <v>139</v>
      </c>
      <c r="D55" s="3">
        <v>46286</v>
      </c>
      <c r="E55" s="1">
        <v>29.93</v>
      </c>
      <c r="F55" s="1">
        <v>4160.2700000000004</v>
      </c>
      <c r="G55" s="2" t="s">
        <v>9</v>
      </c>
    </row>
    <row r="56" spans="1:7" x14ac:dyDescent="0.45">
      <c r="A56" s="2" t="s">
        <v>105</v>
      </c>
      <c r="B56" s="2" t="s">
        <v>16</v>
      </c>
      <c r="C56" s="1">
        <v>319</v>
      </c>
      <c r="D56" s="3">
        <v>46287</v>
      </c>
      <c r="E56" s="1">
        <v>46.55</v>
      </c>
      <c r="F56" s="1">
        <v>14849.45</v>
      </c>
      <c r="G56" s="2" t="s">
        <v>9</v>
      </c>
    </row>
    <row r="57" spans="1:7" x14ac:dyDescent="0.45">
      <c r="A57" s="2" t="s">
        <v>106</v>
      </c>
      <c r="B57" s="2" t="s">
        <v>82</v>
      </c>
      <c r="C57" s="1">
        <v>123</v>
      </c>
      <c r="D57" s="3">
        <v>46287</v>
      </c>
      <c r="E57" s="1">
        <v>18</v>
      </c>
      <c r="F57" s="1">
        <v>2214</v>
      </c>
      <c r="G57" s="2" t="s">
        <v>9</v>
      </c>
    </row>
    <row r="58" spans="1:7" x14ac:dyDescent="0.45">
      <c r="A58" s="2" t="s">
        <v>107</v>
      </c>
      <c r="B58" s="2" t="s">
        <v>108</v>
      </c>
      <c r="C58" s="1">
        <v>323</v>
      </c>
      <c r="D58" s="3">
        <v>46287</v>
      </c>
      <c r="E58" s="1">
        <v>24.53</v>
      </c>
      <c r="F58" s="1">
        <v>7923.19</v>
      </c>
      <c r="G58" s="2" t="s">
        <v>9</v>
      </c>
    </row>
    <row r="59" spans="1:7" x14ac:dyDescent="0.45">
      <c r="A59" s="2" t="s">
        <v>109</v>
      </c>
      <c r="B59" s="2" t="s">
        <v>110</v>
      </c>
      <c r="C59" s="1">
        <v>29</v>
      </c>
      <c r="D59" s="3">
        <v>46287</v>
      </c>
      <c r="E59" s="1">
        <v>33.72</v>
      </c>
      <c r="F59" s="1">
        <v>977.88</v>
      </c>
      <c r="G59" s="2" t="s">
        <v>9</v>
      </c>
    </row>
    <row r="60" spans="1:7" x14ac:dyDescent="0.45">
      <c r="A60" s="2" t="s">
        <v>111</v>
      </c>
      <c r="B60" s="2" t="s">
        <v>77</v>
      </c>
      <c r="C60" s="1">
        <v>136</v>
      </c>
      <c r="D60" s="3">
        <v>46288</v>
      </c>
      <c r="E60" s="1">
        <v>43.14</v>
      </c>
      <c r="F60" s="1">
        <v>5867.04</v>
      </c>
      <c r="G60" s="2" t="s">
        <v>9</v>
      </c>
    </row>
    <row r="61" spans="1:7" x14ac:dyDescent="0.45">
      <c r="A61" s="2" t="s">
        <v>112</v>
      </c>
      <c r="B61" s="2" t="s">
        <v>113</v>
      </c>
      <c r="C61" s="1">
        <v>292</v>
      </c>
      <c r="D61" s="3">
        <v>46288</v>
      </c>
      <c r="E61" s="1">
        <v>34.26</v>
      </c>
      <c r="F61" s="1">
        <v>10003.92</v>
      </c>
      <c r="G61" s="2" t="s">
        <v>9</v>
      </c>
    </row>
    <row r="62" spans="1:7" x14ac:dyDescent="0.45">
      <c r="A62" s="2" t="s">
        <v>114</v>
      </c>
      <c r="B62" s="2" t="s">
        <v>55</v>
      </c>
      <c r="C62" s="1">
        <v>2</v>
      </c>
      <c r="D62" s="3">
        <v>46288</v>
      </c>
      <c r="E62" s="1">
        <v>31.22</v>
      </c>
      <c r="F62" s="1">
        <v>62.44</v>
      </c>
      <c r="G62" s="2" t="s">
        <v>9</v>
      </c>
    </row>
    <row r="63" spans="1:7" x14ac:dyDescent="0.45">
      <c r="A63" s="2" t="s">
        <v>115</v>
      </c>
      <c r="B63" s="2" t="s">
        <v>116</v>
      </c>
      <c r="C63" s="1">
        <v>22</v>
      </c>
      <c r="D63" s="3">
        <v>46288</v>
      </c>
      <c r="E63" s="1">
        <v>7.08</v>
      </c>
      <c r="F63" s="1">
        <v>155.76</v>
      </c>
      <c r="G63" s="2" t="s">
        <v>9</v>
      </c>
    </row>
    <row r="64" spans="1:7" x14ac:dyDescent="0.45">
      <c r="A64" s="2" t="s">
        <v>117</v>
      </c>
      <c r="B64" s="2" t="s">
        <v>118</v>
      </c>
      <c r="C64" s="1">
        <v>55</v>
      </c>
      <c r="D64" s="3">
        <v>46288</v>
      </c>
      <c r="E64" s="1">
        <v>19.72</v>
      </c>
      <c r="F64" s="1">
        <v>1084.5999999999999</v>
      </c>
      <c r="G64" s="2" t="s">
        <v>9</v>
      </c>
    </row>
    <row r="65" spans="1:7" x14ac:dyDescent="0.45">
      <c r="A65" s="2" t="s">
        <v>119</v>
      </c>
      <c r="B65" s="2" t="s">
        <v>13</v>
      </c>
      <c r="C65" s="1">
        <v>517</v>
      </c>
      <c r="D65" s="3">
        <v>46289</v>
      </c>
      <c r="E65" s="1">
        <v>34.33</v>
      </c>
      <c r="F65" s="1">
        <v>17748.61</v>
      </c>
      <c r="G65" s="2" t="s">
        <v>9</v>
      </c>
    </row>
    <row r="66" spans="1:7" x14ac:dyDescent="0.45">
      <c r="A66" s="2" t="s">
        <v>120</v>
      </c>
      <c r="B66" s="2" t="s">
        <v>121</v>
      </c>
      <c r="C66" s="1">
        <v>686</v>
      </c>
      <c r="D66" s="3">
        <v>46289</v>
      </c>
      <c r="E66" s="1">
        <v>30.88</v>
      </c>
      <c r="F66" s="1">
        <v>21183.68</v>
      </c>
      <c r="G66" s="2" t="s">
        <v>9</v>
      </c>
    </row>
    <row r="67" spans="1:7" x14ac:dyDescent="0.45">
      <c r="A67" s="2" t="s">
        <v>122</v>
      </c>
      <c r="B67" s="2" t="s">
        <v>123</v>
      </c>
      <c r="C67" s="1">
        <v>198</v>
      </c>
      <c r="D67" s="3">
        <v>46290</v>
      </c>
      <c r="E67" s="1">
        <v>33.68</v>
      </c>
      <c r="F67" s="1">
        <v>6668.64</v>
      </c>
      <c r="G67" s="2" t="s">
        <v>9</v>
      </c>
    </row>
    <row r="68" spans="1:7" x14ac:dyDescent="0.45">
      <c r="A68" s="2" t="s">
        <v>124</v>
      </c>
      <c r="B68" s="2" t="s">
        <v>51</v>
      </c>
      <c r="C68" s="1">
        <v>164</v>
      </c>
      <c r="D68" s="3">
        <v>46290</v>
      </c>
      <c r="E68" s="1">
        <v>3.18</v>
      </c>
      <c r="F68" s="1">
        <v>521.52</v>
      </c>
      <c r="G68" s="2" t="s">
        <v>9</v>
      </c>
    </row>
    <row r="69" spans="1:7" x14ac:dyDescent="0.45">
      <c r="A69" s="2" t="s">
        <v>125</v>
      </c>
      <c r="B69" s="2" t="s">
        <v>118</v>
      </c>
      <c r="C69" s="1">
        <v>74</v>
      </c>
      <c r="D69" s="3">
        <v>46290</v>
      </c>
      <c r="E69" s="1">
        <v>19.72</v>
      </c>
      <c r="F69" s="1">
        <v>1459.28</v>
      </c>
      <c r="G69" s="2" t="s">
        <v>9</v>
      </c>
    </row>
    <row r="70" spans="1:7" x14ac:dyDescent="0.45">
      <c r="A70" s="2" t="s">
        <v>126</v>
      </c>
      <c r="B70" s="2" t="s">
        <v>127</v>
      </c>
      <c r="C70" s="1">
        <v>435</v>
      </c>
      <c r="D70" s="3">
        <v>46290</v>
      </c>
      <c r="E70" s="1">
        <v>7</v>
      </c>
      <c r="F70" s="1">
        <v>3045</v>
      </c>
      <c r="G70" s="2" t="s">
        <v>9</v>
      </c>
    </row>
    <row r="71" spans="1:7" x14ac:dyDescent="0.45">
      <c r="A71" s="2" t="s">
        <v>128</v>
      </c>
      <c r="B71" s="2" t="s">
        <v>129</v>
      </c>
      <c r="C71" s="1">
        <v>381</v>
      </c>
      <c r="D71" s="3">
        <v>46290</v>
      </c>
      <c r="E71" s="1">
        <v>11.57</v>
      </c>
      <c r="F71" s="1">
        <v>4408.17</v>
      </c>
      <c r="G71" s="2" t="s">
        <v>9</v>
      </c>
    </row>
    <row r="72" spans="1:7" x14ac:dyDescent="0.45">
      <c r="A72" s="2" t="s">
        <v>130</v>
      </c>
      <c r="B72" s="2" t="s">
        <v>99</v>
      </c>
      <c r="C72" s="1">
        <v>90</v>
      </c>
      <c r="D72" s="3">
        <v>46291</v>
      </c>
      <c r="E72" s="1">
        <v>28.16</v>
      </c>
      <c r="F72" s="1">
        <v>2534.4</v>
      </c>
      <c r="G72" s="2" t="s">
        <v>9</v>
      </c>
    </row>
    <row r="73" spans="1:7" x14ac:dyDescent="0.45">
      <c r="A73" s="2" t="s">
        <v>131</v>
      </c>
      <c r="B73" s="2" t="s">
        <v>113</v>
      </c>
      <c r="C73" s="1">
        <v>254</v>
      </c>
      <c r="D73" s="3">
        <v>46291</v>
      </c>
      <c r="E73" s="1">
        <v>34.26</v>
      </c>
      <c r="F73" s="1">
        <v>8702.0400000000009</v>
      </c>
      <c r="G73" s="2" t="s">
        <v>9</v>
      </c>
    </row>
    <row r="74" spans="1:7" x14ac:dyDescent="0.45">
      <c r="A74" s="2" t="s">
        <v>132</v>
      </c>
      <c r="B74" s="2" t="s">
        <v>110</v>
      </c>
      <c r="C74" s="1">
        <v>111</v>
      </c>
      <c r="D74" s="3">
        <v>46291</v>
      </c>
      <c r="E74" s="1">
        <v>33.72</v>
      </c>
      <c r="F74" s="1">
        <v>3742.92</v>
      </c>
      <c r="G74" s="2" t="s">
        <v>9</v>
      </c>
    </row>
    <row r="75" spans="1:7" x14ac:dyDescent="0.45">
      <c r="A75" s="2" t="s">
        <v>133</v>
      </c>
      <c r="B75" s="2" t="s">
        <v>134</v>
      </c>
      <c r="C75" s="1">
        <v>222</v>
      </c>
      <c r="D75" s="3">
        <v>46292</v>
      </c>
      <c r="E75" s="1">
        <v>7.91</v>
      </c>
      <c r="F75" s="1">
        <v>1756.02</v>
      </c>
      <c r="G75" s="2" t="s">
        <v>9</v>
      </c>
    </row>
    <row r="76" spans="1:7" x14ac:dyDescent="0.45">
      <c r="A76" s="2" t="s">
        <v>135</v>
      </c>
      <c r="B76" s="2" t="s">
        <v>116</v>
      </c>
      <c r="C76" s="1">
        <v>238</v>
      </c>
      <c r="D76" s="3">
        <v>46292</v>
      </c>
      <c r="E76" s="1">
        <v>7.08</v>
      </c>
      <c r="F76" s="1">
        <v>1685.04</v>
      </c>
      <c r="G76" s="2" t="s">
        <v>9</v>
      </c>
    </row>
    <row r="77" spans="1:7" x14ac:dyDescent="0.45">
      <c r="A77" s="2" t="s">
        <v>136</v>
      </c>
      <c r="B77" s="2" t="s">
        <v>137</v>
      </c>
      <c r="C77" s="1">
        <v>56</v>
      </c>
      <c r="D77" s="3">
        <v>46292</v>
      </c>
      <c r="E77" s="1">
        <v>17.03</v>
      </c>
      <c r="F77" s="1">
        <v>953.68</v>
      </c>
      <c r="G77" s="2" t="s">
        <v>9</v>
      </c>
    </row>
    <row r="78" spans="1:7" x14ac:dyDescent="0.45">
      <c r="A78" s="2" t="s">
        <v>138</v>
      </c>
      <c r="B78" s="2" t="s">
        <v>121</v>
      </c>
      <c r="C78" s="1">
        <v>48</v>
      </c>
      <c r="D78" s="3">
        <v>46292</v>
      </c>
      <c r="E78" s="1">
        <v>30.88</v>
      </c>
      <c r="F78" s="1">
        <v>1482.24</v>
      </c>
      <c r="G78" s="2" t="s">
        <v>9</v>
      </c>
    </row>
    <row r="79" spans="1:7" x14ac:dyDescent="0.45">
      <c r="A79" s="2" t="s">
        <v>139</v>
      </c>
      <c r="B79" s="2" t="s">
        <v>140</v>
      </c>
      <c r="C79" s="1">
        <v>141</v>
      </c>
      <c r="D79" s="3">
        <v>46292</v>
      </c>
      <c r="E79" s="1">
        <v>15.43</v>
      </c>
      <c r="F79" s="1">
        <v>2175.63</v>
      </c>
      <c r="G79" s="2" t="s">
        <v>9</v>
      </c>
    </row>
    <row r="80" spans="1:7" x14ac:dyDescent="0.45">
      <c r="A80" s="2" t="s">
        <v>141</v>
      </c>
      <c r="B80" s="2" t="s">
        <v>118</v>
      </c>
      <c r="C80" s="1">
        <v>44</v>
      </c>
      <c r="D80" s="3">
        <v>46293</v>
      </c>
      <c r="E80" s="1">
        <v>19.72</v>
      </c>
      <c r="F80" s="1">
        <v>867.68</v>
      </c>
      <c r="G80" s="2" t="s">
        <v>9</v>
      </c>
    </row>
    <row r="81" spans="1:7" x14ac:dyDescent="0.45">
      <c r="A81" s="2" t="s">
        <v>142</v>
      </c>
      <c r="B81" s="2" t="s">
        <v>143</v>
      </c>
      <c r="C81" s="1">
        <v>281</v>
      </c>
      <c r="D81" s="3">
        <v>46293</v>
      </c>
      <c r="E81" s="1">
        <v>47.57</v>
      </c>
      <c r="F81" s="1">
        <v>13367.17</v>
      </c>
      <c r="G81" s="2" t="s">
        <v>9</v>
      </c>
    </row>
    <row r="82" spans="1:7" x14ac:dyDescent="0.45">
      <c r="A82" s="2" t="s">
        <v>144</v>
      </c>
      <c r="B82" s="2" t="s">
        <v>66</v>
      </c>
      <c r="C82" s="1">
        <v>27</v>
      </c>
      <c r="D82" s="3">
        <v>46293</v>
      </c>
      <c r="E82" s="1">
        <v>48.75</v>
      </c>
      <c r="F82" s="1">
        <v>1316.25</v>
      </c>
      <c r="G82" s="2" t="s">
        <v>9</v>
      </c>
    </row>
    <row r="83" spans="1:7" x14ac:dyDescent="0.45">
      <c r="A83" s="2" t="s">
        <v>145</v>
      </c>
      <c r="B83" s="2" t="s">
        <v>146</v>
      </c>
      <c r="C83" s="1">
        <v>497</v>
      </c>
      <c r="D83" s="3">
        <v>46293</v>
      </c>
      <c r="E83" s="1">
        <v>16.3</v>
      </c>
      <c r="F83" s="1">
        <v>8101.1</v>
      </c>
      <c r="G83" s="2" t="s">
        <v>9</v>
      </c>
    </row>
    <row r="84" spans="1:7" x14ac:dyDescent="0.45">
      <c r="A84" s="2" t="s">
        <v>147</v>
      </c>
      <c r="B84" s="2" t="s">
        <v>91</v>
      </c>
      <c r="C84" s="1">
        <v>481</v>
      </c>
      <c r="D84" s="3">
        <v>46293</v>
      </c>
      <c r="E84" s="1">
        <v>16.03</v>
      </c>
      <c r="F84" s="1">
        <v>7710.43</v>
      </c>
      <c r="G84" s="2" t="s">
        <v>9</v>
      </c>
    </row>
    <row r="85" spans="1:7" x14ac:dyDescent="0.45">
      <c r="A85" s="2" t="s">
        <v>148</v>
      </c>
      <c r="B85" s="2" t="s">
        <v>110</v>
      </c>
      <c r="C85" s="1">
        <v>57</v>
      </c>
      <c r="D85" s="3">
        <v>46293</v>
      </c>
      <c r="E85" s="1">
        <v>33.72</v>
      </c>
      <c r="F85" s="1">
        <v>1922.04</v>
      </c>
      <c r="G85" s="2" t="s">
        <v>9</v>
      </c>
    </row>
    <row r="86" spans="1:7" x14ac:dyDescent="0.45">
      <c r="A86" s="2" t="s">
        <v>149</v>
      </c>
      <c r="B86" s="2" t="s">
        <v>134</v>
      </c>
      <c r="C86" s="1">
        <v>124</v>
      </c>
      <c r="D86" s="3">
        <v>46293</v>
      </c>
      <c r="E86" s="1">
        <v>7.91</v>
      </c>
      <c r="F86" s="1">
        <v>980.84</v>
      </c>
      <c r="G86" s="2" t="s">
        <v>9</v>
      </c>
    </row>
    <row r="87" spans="1:7" x14ac:dyDescent="0.45">
      <c r="A87" s="2" t="s">
        <v>150</v>
      </c>
      <c r="B87" s="2" t="s">
        <v>73</v>
      </c>
      <c r="C87" s="1">
        <v>159</v>
      </c>
      <c r="D87" s="3">
        <v>46294</v>
      </c>
      <c r="E87" s="1">
        <v>2.81</v>
      </c>
      <c r="F87" s="1">
        <v>446.79</v>
      </c>
      <c r="G87" s="2" t="s">
        <v>9</v>
      </c>
    </row>
    <row r="88" spans="1:7" x14ac:dyDescent="0.45">
      <c r="A88" s="2" t="s">
        <v>151</v>
      </c>
      <c r="B88" s="2" t="s">
        <v>152</v>
      </c>
      <c r="C88" s="1">
        <v>254</v>
      </c>
      <c r="D88" s="3">
        <v>46294</v>
      </c>
      <c r="E88" s="1">
        <v>44.54</v>
      </c>
      <c r="F88" s="1">
        <v>11313.16</v>
      </c>
      <c r="G88" s="2" t="s">
        <v>9</v>
      </c>
    </row>
    <row r="89" spans="1:7" x14ac:dyDescent="0.45">
      <c r="A89" s="2" t="s">
        <v>153</v>
      </c>
      <c r="B89" s="2" t="s">
        <v>63</v>
      </c>
      <c r="C89" s="1">
        <v>252</v>
      </c>
      <c r="D89" s="3">
        <v>46295</v>
      </c>
      <c r="E89" s="1">
        <v>46.81</v>
      </c>
      <c r="F89" s="1">
        <v>11796.12</v>
      </c>
      <c r="G89" s="2" t="s">
        <v>9</v>
      </c>
    </row>
    <row r="90" spans="1:7" x14ac:dyDescent="0.45">
      <c r="A90" s="2" t="s">
        <v>154</v>
      </c>
      <c r="B90" s="2" t="s">
        <v>104</v>
      </c>
      <c r="C90" s="1">
        <v>648</v>
      </c>
      <c r="D90" s="3">
        <v>46295</v>
      </c>
      <c r="E90" s="1">
        <v>29.93</v>
      </c>
      <c r="F90" s="1">
        <v>19394.64</v>
      </c>
      <c r="G90" s="2" t="s">
        <v>9</v>
      </c>
    </row>
    <row r="91" spans="1:7" x14ac:dyDescent="0.45">
      <c r="A91" s="2" t="s">
        <v>155</v>
      </c>
      <c r="B91" s="2" t="s">
        <v>156</v>
      </c>
      <c r="C91" s="1">
        <v>63</v>
      </c>
      <c r="D91" s="3">
        <v>46295</v>
      </c>
      <c r="E91" s="1">
        <v>22.95</v>
      </c>
      <c r="F91" s="1">
        <v>1445.85</v>
      </c>
      <c r="G91" s="2" t="s">
        <v>9</v>
      </c>
    </row>
    <row r="92" spans="1:7" x14ac:dyDescent="0.45">
      <c r="A92" s="2" t="s">
        <v>157</v>
      </c>
      <c r="B92" s="2" t="s">
        <v>158</v>
      </c>
      <c r="C92" s="1">
        <v>206</v>
      </c>
      <c r="D92" s="3">
        <v>46296</v>
      </c>
      <c r="E92" s="1">
        <v>38.33</v>
      </c>
      <c r="F92" s="1">
        <v>7895.98</v>
      </c>
      <c r="G92" s="2" t="s">
        <v>9</v>
      </c>
    </row>
    <row r="93" spans="1:7" x14ac:dyDescent="0.45">
      <c r="A93" s="2" t="s">
        <v>159</v>
      </c>
      <c r="B93" s="2" t="s">
        <v>160</v>
      </c>
      <c r="C93" s="1">
        <v>117</v>
      </c>
      <c r="D93" s="3">
        <v>46296</v>
      </c>
      <c r="E93" s="1">
        <v>44.61</v>
      </c>
      <c r="F93" s="1">
        <v>5219.37</v>
      </c>
      <c r="G93" s="2" t="s">
        <v>9</v>
      </c>
    </row>
    <row r="94" spans="1:7" x14ac:dyDescent="0.45">
      <c r="A94" s="2" t="s">
        <v>161</v>
      </c>
      <c r="B94" s="2" t="s">
        <v>162</v>
      </c>
      <c r="C94" s="1">
        <v>63</v>
      </c>
      <c r="D94" s="3">
        <v>46296</v>
      </c>
      <c r="E94" s="1">
        <v>29.25</v>
      </c>
      <c r="F94" s="1">
        <v>1842.75</v>
      </c>
      <c r="G94" s="2" t="s">
        <v>9</v>
      </c>
    </row>
    <row r="95" spans="1:7" x14ac:dyDescent="0.45">
      <c r="A95" s="2" t="s">
        <v>163</v>
      </c>
      <c r="B95" s="2" t="s">
        <v>53</v>
      </c>
      <c r="C95" s="1">
        <v>541</v>
      </c>
      <c r="D95" s="3">
        <v>46297</v>
      </c>
      <c r="E95" s="1">
        <v>24.65</v>
      </c>
      <c r="F95" s="1">
        <v>13335.65</v>
      </c>
      <c r="G95" s="2" t="s">
        <v>9</v>
      </c>
    </row>
    <row r="96" spans="1:7" x14ac:dyDescent="0.45">
      <c r="A96" s="2" t="s">
        <v>164</v>
      </c>
      <c r="B96" s="2" t="s">
        <v>165</v>
      </c>
      <c r="C96" s="1">
        <v>243</v>
      </c>
      <c r="D96" s="3">
        <v>46297</v>
      </c>
      <c r="E96" s="1">
        <v>9.83</v>
      </c>
      <c r="F96" s="1">
        <v>2388.69</v>
      </c>
      <c r="G96" s="2" t="s">
        <v>9</v>
      </c>
    </row>
    <row r="97" spans="1:7" x14ac:dyDescent="0.45">
      <c r="A97" s="2" t="s">
        <v>166</v>
      </c>
      <c r="B97" s="2" t="s">
        <v>96</v>
      </c>
      <c r="C97" s="1">
        <v>523</v>
      </c>
      <c r="D97" s="3">
        <v>46297</v>
      </c>
      <c r="E97" s="1">
        <v>26.31</v>
      </c>
      <c r="F97" s="1">
        <v>13760.13</v>
      </c>
      <c r="G97" s="2" t="s">
        <v>9</v>
      </c>
    </row>
    <row r="98" spans="1:7" x14ac:dyDescent="0.45">
      <c r="A98" s="2" t="s">
        <v>167</v>
      </c>
      <c r="B98" s="2" t="s">
        <v>27</v>
      </c>
      <c r="C98" s="1">
        <v>40</v>
      </c>
      <c r="D98" s="3">
        <v>46297</v>
      </c>
      <c r="E98" s="1">
        <v>38.630000000000003</v>
      </c>
      <c r="F98" s="1">
        <v>1545.2</v>
      </c>
      <c r="G98" s="2" t="s">
        <v>9</v>
      </c>
    </row>
    <row r="99" spans="1:7" x14ac:dyDescent="0.45">
      <c r="A99" s="2" t="s">
        <v>168</v>
      </c>
      <c r="B99" s="2" t="s">
        <v>118</v>
      </c>
      <c r="C99" s="1">
        <v>106</v>
      </c>
      <c r="D99" s="3">
        <v>46298</v>
      </c>
      <c r="E99" s="1">
        <v>19.72</v>
      </c>
      <c r="F99" s="1">
        <v>2090.3200000000002</v>
      </c>
      <c r="G99" s="2" t="s">
        <v>9</v>
      </c>
    </row>
    <row r="100" spans="1:7" x14ac:dyDescent="0.45">
      <c r="A100" s="2" t="s">
        <v>169</v>
      </c>
      <c r="B100" s="2" t="s">
        <v>39</v>
      </c>
      <c r="C100" s="1">
        <v>152</v>
      </c>
      <c r="D100" s="3">
        <v>46298</v>
      </c>
      <c r="E100" s="1">
        <v>36.47</v>
      </c>
      <c r="F100" s="1">
        <v>5543.44</v>
      </c>
      <c r="G100" s="2" t="s">
        <v>9</v>
      </c>
    </row>
    <row r="101" spans="1:7" x14ac:dyDescent="0.45">
      <c r="A101" s="2" t="s">
        <v>170</v>
      </c>
      <c r="B101" s="2" t="s">
        <v>171</v>
      </c>
      <c r="C101" s="1">
        <v>356</v>
      </c>
      <c r="D101" s="3">
        <v>46298</v>
      </c>
      <c r="E101" s="1">
        <v>23.36</v>
      </c>
      <c r="F101" s="1">
        <v>8316.16</v>
      </c>
      <c r="G101" s="2" t="s">
        <v>9</v>
      </c>
    </row>
    <row r="102" spans="1:7" x14ac:dyDescent="0.45">
      <c r="A102" s="2" t="s">
        <v>172</v>
      </c>
      <c r="B102" s="2" t="s">
        <v>173</v>
      </c>
      <c r="C102" s="1">
        <v>46</v>
      </c>
      <c r="D102" s="3">
        <v>46299</v>
      </c>
      <c r="E102" s="1">
        <v>23.12</v>
      </c>
      <c r="F102" s="1">
        <v>1063.52</v>
      </c>
      <c r="G102" s="2" t="s">
        <v>9</v>
      </c>
    </row>
    <row r="103" spans="1:7" x14ac:dyDescent="0.45">
      <c r="A103" s="2" t="s">
        <v>174</v>
      </c>
      <c r="B103" s="2" t="s">
        <v>79</v>
      </c>
      <c r="C103" s="1">
        <v>435</v>
      </c>
      <c r="D103" s="3">
        <v>46299</v>
      </c>
      <c r="E103" s="1">
        <v>42.2</v>
      </c>
      <c r="F103" s="1">
        <v>18357</v>
      </c>
      <c r="G103" s="2" t="s">
        <v>9</v>
      </c>
    </row>
    <row r="104" spans="1:7" x14ac:dyDescent="0.45">
      <c r="A104" s="2" t="s">
        <v>175</v>
      </c>
      <c r="B104" s="2" t="s">
        <v>176</v>
      </c>
      <c r="C104" s="1">
        <v>8</v>
      </c>
      <c r="D104" s="3">
        <v>46299</v>
      </c>
      <c r="E104" s="1">
        <v>8.5399999999999991</v>
      </c>
      <c r="F104" s="1">
        <v>68.319999999999993</v>
      </c>
      <c r="G104" s="2" t="s">
        <v>9</v>
      </c>
    </row>
    <row r="105" spans="1:7" x14ac:dyDescent="0.45">
      <c r="A105" s="2" t="s">
        <v>177</v>
      </c>
      <c r="B105" s="2" t="s">
        <v>165</v>
      </c>
      <c r="C105" s="1">
        <v>28</v>
      </c>
      <c r="D105" s="3">
        <v>46299</v>
      </c>
      <c r="E105" s="1">
        <v>9.83</v>
      </c>
      <c r="F105" s="1">
        <v>275.24</v>
      </c>
      <c r="G105" s="2" t="s">
        <v>9</v>
      </c>
    </row>
    <row r="106" spans="1:7" x14ac:dyDescent="0.45">
      <c r="A106" s="2" t="s">
        <v>178</v>
      </c>
      <c r="B106" s="2" t="s">
        <v>176</v>
      </c>
      <c r="C106" s="1">
        <v>517</v>
      </c>
      <c r="D106" s="3">
        <v>46300</v>
      </c>
      <c r="E106" s="1">
        <v>8.5399999999999991</v>
      </c>
      <c r="F106" s="1">
        <v>4415.18</v>
      </c>
      <c r="G106" s="2" t="s">
        <v>9</v>
      </c>
    </row>
    <row r="107" spans="1:7" x14ac:dyDescent="0.45">
      <c r="A107" s="2" t="s">
        <v>179</v>
      </c>
      <c r="B107" s="2" t="s">
        <v>27</v>
      </c>
      <c r="C107" s="1">
        <v>341</v>
      </c>
      <c r="D107" s="3">
        <v>46300</v>
      </c>
      <c r="E107" s="1">
        <v>38.630000000000003</v>
      </c>
      <c r="F107" s="1">
        <v>13172.83</v>
      </c>
      <c r="G107" s="2" t="s">
        <v>9</v>
      </c>
    </row>
    <row r="108" spans="1:7" x14ac:dyDescent="0.45">
      <c r="A108" s="2" t="s">
        <v>180</v>
      </c>
      <c r="B108" s="2" t="s">
        <v>49</v>
      </c>
      <c r="C108" s="1">
        <v>462</v>
      </c>
      <c r="D108" s="3">
        <v>46300</v>
      </c>
      <c r="E108" s="1">
        <v>21.95</v>
      </c>
      <c r="F108" s="1">
        <v>10140.9</v>
      </c>
      <c r="G108" s="2" t="s">
        <v>9</v>
      </c>
    </row>
    <row r="109" spans="1:7" x14ac:dyDescent="0.45">
      <c r="A109" s="2" t="s">
        <v>181</v>
      </c>
      <c r="B109" s="2" t="s">
        <v>59</v>
      </c>
      <c r="C109" s="1">
        <v>177</v>
      </c>
      <c r="D109" s="3">
        <v>46301</v>
      </c>
      <c r="E109" s="1">
        <v>19.579999999999998</v>
      </c>
      <c r="F109" s="1">
        <v>3465.66</v>
      </c>
      <c r="G109" s="2" t="s">
        <v>9</v>
      </c>
    </row>
    <row r="110" spans="1:7" x14ac:dyDescent="0.45">
      <c r="A110" s="2" t="s">
        <v>182</v>
      </c>
      <c r="B110" s="2" t="s">
        <v>158</v>
      </c>
      <c r="C110" s="1">
        <v>288</v>
      </c>
      <c r="D110" s="3">
        <v>46301</v>
      </c>
      <c r="E110" s="1">
        <v>38.33</v>
      </c>
      <c r="F110" s="1">
        <v>11039.04</v>
      </c>
      <c r="G110" s="2" t="s">
        <v>9</v>
      </c>
    </row>
    <row r="111" spans="1:7" x14ac:dyDescent="0.45">
      <c r="A111" s="2" t="s">
        <v>183</v>
      </c>
      <c r="B111" s="2" t="s">
        <v>79</v>
      </c>
      <c r="C111" s="1">
        <v>193</v>
      </c>
      <c r="D111" s="3">
        <v>46301</v>
      </c>
      <c r="E111" s="1">
        <v>42.2</v>
      </c>
      <c r="F111" s="1">
        <v>8144.6</v>
      </c>
      <c r="G111" s="2" t="s">
        <v>9</v>
      </c>
    </row>
    <row r="112" spans="1:7" x14ac:dyDescent="0.45">
      <c r="A112" s="2" t="s">
        <v>184</v>
      </c>
      <c r="B112" s="2" t="s">
        <v>185</v>
      </c>
      <c r="C112" s="1">
        <v>246</v>
      </c>
      <c r="D112" s="3">
        <v>46301</v>
      </c>
      <c r="E112" s="1">
        <v>34.36</v>
      </c>
      <c r="F112" s="1">
        <v>8452.56</v>
      </c>
      <c r="G112" s="2" t="s">
        <v>9</v>
      </c>
    </row>
    <row r="113" spans="1:7" x14ac:dyDescent="0.45">
      <c r="A113" s="2" t="s">
        <v>186</v>
      </c>
      <c r="B113" s="2" t="s">
        <v>55</v>
      </c>
      <c r="C113" s="1">
        <v>514</v>
      </c>
      <c r="D113" s="3">
        <v>46301</v>
      </c>
      <c r="E113" s="1">
        <v>31.22</v>
      </c>
      <c r="F113" s="1">
        <v>16047.08</v>
      </c>
      <c r="G113" s="2" t="s">
        <v>9</v>
      </c>
    </row>
    <row r="114" spans="1:7" x14ac:dyDescent="0.45">
      <c r="A114" s="2" t="s">
        <v>187</v>
      </c>
      <c r="B114" s="2" t="s">
        <v>69</v>
      </c>
      <c r="C114" s="1">
        <v>562</v>
      </c>
      <c r="D114" s="3">
        <v>46301</v>
      </c>
      <c r="E114" s="1">
        <v>31.82</v>
      </c>
      <c r="F114" s="1">
        <v>17882.84</v>
      </c>
      <c r="G114" s="2" t="s">
        <v>9</v>
      </c>
    </row>
    <row r="115" spans="1:7" x14ac:dyDescent="0.45">
      <c r="A115" s="2" t="s">
        <v>188</v>
      </c>
      <c r="B115" s="2" t="s">
        <v>189</v>
      </c>
      <c r="C115" s="1">
        <v>154</v>
      </c>
      <c r="D115" s="3">
        <v>46301</v>
      </c>
      <c r="E115" s="1">
        <v>34.76</v>
      </c>
      <c r="F115" s="1">
        <v>5353.04</v>
      </c>
      <c r="G115" s="2" t="s">
        <v>9</v>
      </c>
    </row>
    <row r="116" spans="1:7" x14ac:dyDescent="0.45">
      <c r="A116" s="2" t="s">
        <v>190</v>
      </c>
      <c r="B116" s="2" t="s">
        <v>59</v>
      </c>
      <c r="C116" s="1">
        <v>690</v>
      </c>
      <c r="D116" s="3">
        <v>46301</v>
      </c>
      <c r="E116" s="1">
        <v>19.579999999999998</v>
      </c>
      <c r="F116" s="1">
        <v>13510.2</v>
      </c>
      <c r="G116" s="2" t="s">
        <v>9</v>
      </c>
    </row>
    <row r="117" spans="1:7" x14ac:dyDescent="0.45">
      <c r="A117" s="2" t="s">
        <v>191</v>
      </c>
      <c r="B117" s="2" t="s">
        <v>192</v>
      </c>
      <c r="C117" s="1">
        <v>51</v>
      </c>
      <c r="D117" s="3">
        <v>46301</v>
      </c>
      <c r="E117" s="1">
        <v>45.46</v>
      </c>
      <c r="F117" s="1">
        <v>2318.46</v>
      </c>
      <c r="G117" s="2" t="s">
        <v>9</v>
      </c>
    </row>
    <row r="118" spans="1:7" x14ac:dyDescent="0.45">
      <c r="A118" s="2" t="s">
        <v>193</v>
      </c>
      <c r="B118" s="2" t="s">
        <v>61</v>
      </c>
      <c r="C118" s="1">
        <v>621</v>
      </c>
      <c r="D118" s="3">
        <v>46302</v>
      </c>
      <c r="E118" s="1">
        <v>1.94</v>
      </c>
      <c r="F118" s="1">
        <v>1204.74</v>
      </c>
      <c r="G118" s="2" t="s">
        <v>9</v>
      </c>
    </row>
    <row r="119" spans="1:7" x14ac:dyDescent="0.45">
      <c r="A119" s="2" t="s">
        <v>194</v>
      </c>
      <c r="B119" s="2" t="s">
        <v>118</v>
      </c>
      <c r="C119" s="1">
        <v>631</v>
      </c>
      <c r="D119" s="3">
        <v>46302</v>
      </c>
      <c r="E119" s="1">
        <v>19.72</v>
      </c>
      <c r="F119" s="1">
        <v>12443.32</v>
      </c>
      <c r="G119" s="2" t="s">
        <v>9</v>
      </c>
    </row>
    <row r="120" spans="1:7" x14ac:dyDescent="0.45">
      <c r="A120" s="2" t="s">
        <v>195</v>
      </c>
      <c r="B120" s="2" t="s">
        <v>196</v>
      </c>
      <c r="C120" s="1">
        <v>369</v>
      </c>
      <c r="D120" s="3">
        <v>46302</v>
      </c>
      <c r="E120" s="1">
        <v>48.08</v>
      </c>
      <c r="F120" s="1">
        <v>17741.52</v>
      </c>
      <c r="G120" s="2" t="s">
        <v>9</v>
      </c>
    </row>
    <row r="121" spans="1:7" x14ac:dyDescent="0.45">
      <c r="A121" s="2" t="s">
        <v>197</v>
      </c>
      <c r="B121" s="2" t="s">
        <v>89</v>
      </c>
      <c r="C121" s="1">
        <v>84</v>
      </c>
      <c r="D121" s="3">
        <v>46302</v>
      </c>
      <c r="E121" s="1">
        <v>15.09</v>
      </c>
      <c r="F121" s="1">
        <v>1267.56</v>
      </c>
      <c r="G121" s="2" t="s">
        <v>9</v>
      </c>
    </row>
    <row r="122" spans="1:7" x14ac:dyDescent="0.45">
      <c r="A122" s="2" t="s">
        <v>198</v>
      </c>
      <c r="B122" s="2" t="s">
        <v>82</v>
      </c>
      <c r="C122" s="1">
        <v>49</v>
      </c>
      <c r="D122" s="3">
        <v>46302</v>
      </c>
      <c r="E122" s="1">
        <v>18</v>
      </c>
      <c r="F122" s="1">
        <v>882</v>
      </c>
      <c r="G122" s="2" t="s">
        <v>9</v>
      </c>
    </row>
    <row r="123" spans="1:7" x14ac:dyDescent="0.45">
      <c r="A123" s="2" t="s">
        <v>199</v>
      </c>
      <c r="B123" s="2" t="s">
        <v>51</v>
      </c>
      <c r="C123" s="1">
        <v>212</v>
      </c>
      <c r="D123" s="3">
        <v>46302</v>
      </c>
      <c r="E123" s="1">
        <v>3.18</v>
      </c>
      <c r="F123" s="1">
        <v>674.16</v>
      </c>
      <c r="G123" s="2" t="s">
        <v>9</v>
      </c>
    </row>
    <row r="124" spans="1:7" x14ac:dyDescent="0.45">
      <c r="A124" s="2" t="s">
        <v>200</v>
      </c>
      <c r="B124" s="2" t="s">
        <v>77</v>
      </c>
      <c r="C124" s="1">
        <v>123</v>
      </c>
      <c r="D124" s="3">
        <v>46302</v>
      </c>
      <c r="E124" s="1">
        <v>43.14</v>
      </c>
      <c r="F124" s="1">
        <v>5306.22</v>
      </c>
      <c r="G124" s="2" t="s">
        <v>9</v>
      </c>
    </row>
    <row r="125" spans="1:7" x14ac:dyDescent="0.45">
      <c r="A125" s="2" t="s">
        <v>201</v>
      </c>
      <c r="B125" s="2" t="s">
        <v>35</v>
      </c>
      <c r="C125" s="1">
        <v>453</v>
      </c>
      <c r="D125" s="3">
        <v>46302</v>
      </c>
      <c r="E125" s="1">
        <v>31.68</v>
      </c>
      <c r="F125" s="1">
        <v>14351.04</v>
      </c>
      <c r="G125" s="2" t="s">
        <v>9</v>
      </c>
    </row>
    <row r="126" spans="1:7" x14ac:dyDescent="0.45">
      <c r="A126" s="2" t="s">
        <v>202</v>
      </c>
      <c r="B126" s="2" t="s">
        <v>71</v>
      </c>
      <c r="C126" s="1">
        <v>842</v>
      </c>
      <c r="D126" s="3">
        <v>46302</v>
      </c>
      <c r="E126" s="1">
        <v>1.84</v>
      </c>
      <c r="F126" s="1">
        <v>1549.28</v>
      </c>
      <c r="G126" s="2" t="s">
        <v>9</v>
      </c>
    </row>
    <row r="127" spans="1:7" x14ac:dyDescent="0.45">
      <c r="A127" s="2" t="s">
        <v>203</v>
      </c>
      <c r="B127" s="2" t="s">
        <v>110</v>
      </c>
      <c r="C127" s="1">
        <v>388</v>
      </c>
      <c r="D127" s="3">
        <v>46302</v>
      </c>
      <c r="E127" s="1">
        <v>33.72</v>
      </c>
      <c r="F127" s="1">
        <v>13083.36</v>
      </c>
      <c r="G127" s="2" t="s">
        <v>9</v>
      </c>
    </row>
    <row r="128" spans="1:7" x14ac:dyDescent="0.45">
      <c r="A128" s="2" t="s">
        <v>204</v>
      </c>
      <c r="B128" s="2" t="s">
        <v>108</v>
      </c>
      <c r="C128" s="1">
        <v>189</v>
      </c>
      <c r="D128" s="3">
        <v>46302</v>
      </c>
      <c r="E128" s="1">
        <v>24.53</v>
      </c>
      <c r="F128" s="1">
        <v>4636.17</v>
      </c>
      <c r="G128" s="2" t="s">
        <v>9</v>
      </c>
    </row>
    <row r="129" spans="1:7" x14ac:dyDescent="0.45">
      <c r="A129" s="2" t="s">
        <v>205</v>
      </c>
      <c r="B129" s="2" t="s">
        <v>206</v>
      </c>
      <c r="C129" s="1">
        <v>232</v>
      </c>
      <c r="D129" s="3">
        <v>46303</v>
      </c>
      <c r="E129" s="1">
        <v>5.27</v>
      </c>
      <c r="F129" s="1">
        <v>1222.6400000000001</v>
      </c>
      <c r="G129" s="2" t="s">
        <v>9</v>
      </c>
    </row>
    <row r="130" spans="1:7" x14ac:dyDescent="0.45">
      <c r="A130" s="2" t="s">
        <v>207</v>
      </c>
      <c r="B130" s="2" t="s">
        <v>96</v>
      </c>
      <c r="C130" s="1">
        <v>464</v>
      </c>
      <c r="D130" s="3">
        <v>46303</v>
      </c>
      <c r="E130" s="1">
        <v>26.31</v>
      </c>
      <c r="F130" s="1">
        <v>12207.84</v>
      </c>
      <c r="G130" s="2" t="s">
        <v>9</v>
      </c>
    </row>
    <row r="131" spans="1:7" x14ac:dyDescent="0.45">
      <c r="A131" s="2" t="s">
        <v>208</v>
      </c>
      <c r="B131" s="2" t="s">
        <v>209</v>
      </c>
      <c r="C131" s="1">
        <v>128</v>
      </c>
      <c r="D131" s="3">
        <v>46303</v>
      </c>
      <c r="E131" s="1">
        <v>47.37</v>
      </c>
      <c r="F131" s="1">
        <v>6063.36</v>
      </c>
      <c r="G131" s="2" t="s">
        <v>9</v>
      </c>
    </row>
    <row r="132" spans="1:7" x14ac:dyDescent="0.45">
      <c r="A132" s="2" t="s">
        <v>210</v>
      </c>
      <c r="B132" s="2" t="s">
        <v>91</v>
      </c>
      <c r="C132" s="1">
        <v>234</v>
      </c>
      <c r="D132" s="3">
        <v>46303</v>
      </c>
      <c r="E132" s="1">
        <v>16.03</v>
      </c>
      <c r="F132" s="1">
        <v>3751.02</v>
      </c>
      <c r="G132" s="2" t="s">
        <v>9</v>
      </c>
    </row>
    <row r="133" spans="1:7" x14ac:dyDescent="0.45">
      <c r="A133" s="2" t="s">
        <v>211</v>
      </c>
      <c r="B133" s="2" t="s">
        <v>19</v>
      </c>
      <c r="C133" s="1">
        <v>133</v>
      </c>
      <c r="D133" s="3">
        <v>46303</v>
      </c>
      <c r="E133" s="1">
        <v>5.01</v>
      </c>
      <c r="F133" s="1">
        <v>666.33</v>
      </c>
      <c r="G133" s="2" t="s">
        <v>9</v>
      </c>
    </row>
    <row r="134" spans="1:7" x14ac:dyDescent="0.45">
      <c r="A134" s="2" t="s">
        <v>212</v>
      </c>
      <c r="B134" s="2" t="s">
        <v>63</v>
      </c>
      <c r="C134" s="1">
        <v>236</v>
      </c>
      <c r="D134" s="3">
        <v>46304</v>
      </c>
      <c r="E134" s="1">
        <v>46.81</v>
      </c>
      <c r="F134" s="1">
        <v>11047.16</v>
      </c>
      <c r="G134" s="2" t="s">
        <v>9</v>
      </c>
    </row>
    <row r="135" spans="1:7" x14ac:dyDescent="0.45">
      <c r="A135" s="2" t="s">
        <v>213</v>
      </c>
      <c r="B135" s="2" t="s">
        <v>91</v>
      </c>
      <c r="C135" s="1">
        <v>400</v>
      </c>
      <c r="D135" s="3">
        <v>46304</v>
      </c>
      <c r="E135" s="1">
        <v>16.03</v>
      </c>
      <c r="F135" s="1">
        <v>6412</v>
      </c>
      <c r="G135" s="2" t="s">
        <v>9</v>
      </c>
    </row>
    <row r="136" spans="1:7" x14ac:dyDescent="0.45">
      <c r="A136" s="2" t="s">
        <v>214</v>
      </c>
      <c r="B136" s="2" t="s">
        <v>215</v>
      </c>
      <c r="C136" s="1">
        <v>334</v>
      </c>
      <c r="D136" s="3">
        <v>46304</v>
      </c>
      <c r="E136" s="1">
        <v>45.6</v>
      </c>
      <c r="F136" s="1">
        <v>15230.4</v>
      </c>
      <c r="G136" s="2" t="s">
        <v>9</v>
      </c>
    </row>
    <row r="137" spans="1:7" x14ac:dyDescent="0.45">
      <c r="A137" s="2" t="s">
        <v>216</v>
      </c>
      <c r="B137" s="2" t="s">
        <v>75</v>
      </c>
      <c r="C137" s="1">
        <v>743</v>
      </c>
      <c r="D137" s="3">
        <v>46304</v>
      </c>
      <c r="E137" s="1">
        <v>5.28</v>
      </c>
      <c r="F137" s="1">
        <v>3923.04</v>
      </c>
      <c r="G137" s="2" t="s">
        <v>9</v>
      </c>
    </row>
    <row r="138" spans="1:7" x14ac:dyDescent="0.45">
      <c r="A138" s="2" t="s">
        <v>217</v>
      </c>
      <c r="B138" s="2" t="s">
        <v>84</v>
      </c>
      <c r="C138" s="1">
        <v>286</v>
      </c>
      <c r="D138" s="3">
        <v>46304</v>
      </c>
      <c r="E138" s="1">
        <v>45.95</v>
      </c>
      <c r="F138" s="1">
        <v>13141.7</v>
      </c>
      <c r="G138" s="2" t="s">
        <v>9</v>
      </c>
    </row>
    <row r="139" spans="1:7" x14ac:dyDescent="0.45">
      <c r="A139" s="2" t="s">
        <v>218</v>
      </c>
      <c r="B139" s="2" t="s">
        <v>219</v>
      </c>
      <c r="C139" s="1">
        <v>120</v>
      </c>
      <c r="D139" s="3">
        <v>46304</v>
      </c>
      <c r="E139" s="1">
        <v>16.739999999999998</v>
      </c>
      <c r="F139" s="1">
        <v>2008.8</v>
      </c>
      <c r="G139" s="2" t="s">
        <v>9</v>
      </c>
    </row>
    <row r="140" spans="1:7" x14ac:dyDescent="0.45">
      <c r="A140" s="2" t="s">
        <v>220</v>
      </c>
      <c r="B140" s="2" t="s">
        <v>55</v>
      </c>
      <c r="C140" s="1">
        <v>174</v>
      </c>
      <c r="D140" s="3">
        <v>46304</v>
      </c>
      <c r="E140" s="1">
        <v>31.22</v>
      </c>
      <c r="F140" s="1">
        <v>5432.28</v>
      </c>
      <c r="G140" s="2" t="s">
        <v>9</v>
      </c>
    </row>
    <row r="141" spans="1:7" x14ac:dyDescent="0.45">
      <c r="A141" s="2" t="s">
        <v>221</v>
      </c>
      <c r="B141" s="2" t="s">
        <v>222</v>
      </c>
      <c r="C141" s="1">
        <v>144</v>
      </c>
      <c r="D141" s="3">
        <v>46304</v>
      </c>
      <c r="E141" s="1">
        <v>8.18</v>
      </c>
      <c r="F141" s="1">
        <v>1177.92</v>
      </c>
      <c r="G141" s="2" t="s">
        <v>9</v>
      </c>
    </row>
    <row r="142" spans="1:7" x14ac:dyDescent="0.45">
      <c r="A142" s="2" t="s">
        <v>223</v>
      </c>
      <c r="B142" s="2" t="s">
        <v>162</v>
      </c>
      <c r="C142" s="1">
        <v>392</v>
      </c>
      <c r="D142" s="3">
        <v>46304</v>
      </c>
      <c r="E142" s="1">
        <v>29.25</v>
      </c>
      <c r="F142" s="1">
        <v>11466</v>
      </c>
      <c r="G142" s="2" t="s">
        <v>9</v>
      </c>
    </row>
    <row r="143" spans="1:7" x14ac:dyDescent="0.45">
      <c r="A143" s="2" t="s">
        <v>224</v>
      </c>
      <c r="B143" s="2" t="s">
        <v>82</v>
      </c>
      <c r="C143" s="1">
        <v>317</v>
      </c>
      <c r="D143" s="3">
        <v>46305</v>
      </c>
      <c r="E143" s="1">
        <v>18</v>
      </c>
      <c r="F143" s="1">
        <v>5706</v>
      </c>
      <c r="G143" s="2" t="s">
        <v>9</v>
      </c>
    </row>
    <row r="144" spans="1:7" x14ac:dyDescent="0.45">
      <c r="A144" s="2" t="s">
        <v>225</v>
      </c>
      <c r="B144" s="2" t="s">
        <v>37</v>
      </c>
      <c r="C144" s="1">
        <v>251</v>
      </c>
      <c r="D144" s="3">
        <v>46305</v>
      </c>
      <c r="E144" s="1">
        <v>34.28</v>
      </c>
      <c r="F144" s="1">
        <v>8604.2800000000007</v>
      </c>
      <c r="G144" s="2" t="s">
        <v>9</v>
      </c>
    </row>
    <row r="145" spans="1:7" x14ac:dyDescent="0.45">
      <c r="A145" s="2" t="s">
        <v>226</v>
      </c>
      <c r="B145" s="2" t="s">
        <v>73</v>
      </c>
      <c r="C145" s="1">
        <v>523</v>
      </c>
      <c r="D145" s="3">
        <v>46305</v>
      </c>
      <c r="E145" s="1">
        <v>2.81</v>
      </c>
      <c r="F145" s="1">
        <v>1469.63</v>
      </c>
      <c r="G145" s="2" t="s">
        <v>9</v>
      </c>
    </row>
    <row r="146" spans="1:7" x14ac:dyDescent="0.45">
      <c r="A146" s="2" t="s">
        <v>227</v>
      </c>
      <c r="B146" s="2" t="s">
        <v>137</v>
      </c>
      <c r="C146" s="1">
        <v>294</v>
      </c>
      <c r="D146" s="3">
        <v>46305</v>
      </c>
      <c r="E146" s="1">
        <v>17.03</v>
      </c>
      <c r="F146" s="1">
        <v>5006.82</v>
      </c>
      <c r="G146" s="2" t="s">
        <v>9</v>
      </c>
    </row>
    <row r="147" spans="1:7" x14ac:dyDescent="0.45">
      <c r="A147" s="2" t="s">
        <v>228</v>
      </c>
      <c r="B147" s="2" t="s">
        <v>69</v>
      </c>
      <c r="C147" s="1">
        <v>379</v>
      </c>
      <c r="D147" s="3">
        <v>46306</v>
      </c>
      <c r="E147" s="1">
        <v>31.82</v>
      </c>
      <c r="F147" s="1">
        <v>12059.78</v>
      </c>
      <c r="G147" s="2" t="s">
        <v>9</v>
      </c>
    </row>
    <row r="148" spans="1:7" x14ac:dyDescent="0.45">
      <c r="A148" s="2" t="s">
        <v>229</v>
      </c>
      <c r="B148" s="2" t="s">
        <v>31</v>
      </c>
      <c r="C148" s="1">
        <v>361</v>
      </c>
      <c r="D148" s="3">
        <v>46306</v>
      </c>
      <c r="E148" s="1">
        <v>28.86</v>
      </c>
      <c r="F148" s="1">
        <v>10418.459999999999</v>
      </c>
      <c r="G148" s="2" t="s">
        <v>9</v>
      </c>
    </row>
    <row r="149" spans="1:7" x14ac:dyDescent="0.45">
      <c r="A149" s="2" t="s">
        <v>230</v>
      </c>
      <c r="B149" s="2" t="s">
        <v>82</v>
      </c>
      <c r="C149" s="1">
        <v>24</v>
      </c>
      <c r="D149" s="3">
        <v>46306</v>
      </c>
      <c r="E149" s="1">
        <v>18</v>
      </c>
      <c r="F149" s="1">
        <v>432</v>
      </c>
      <c r="G149" s="2" t="s">
        <v>9</v>
      </c>
    </row>
    <row r="150" spans="1:7" x14ac:dyDescent="0.45">
      <c r="A150" s="2" t="s">
        <v>231</v>
      </c>
      <c r="B150" s="2" t="s">
        <v>91</v>
      </c>
      <c r="C150" s="1">
        <v>422</v>
      </c>
      <c r="D150" s="3">
        <v>46307</v>
      </c>
      <c r="E150" s="1">
        <v>16.03</v>
      </c>
      <c r="F150" s="1">
        <v>6764.66</v>
      </c>
      <c r="G150" s="2" t="s">
        <v>9</v>
      </c>
    </row>
    <row r="151" spans="1:7" x14ac:dyDescent="0.45">
      <c r="A151" s="2" t="s">
        <v>232</v>
      </c>
      <c r="B151" s="2" t="s">
        <v>233</v>
      </c>
      <c r="C151" s="1">
        <v>31</v>
      </c>
      <c r="D151" s="3">
        <v>46307</v>
      </c>
      <c r="E151" s="1">
        <v>13.76</v>
      </c>
      <c r="F151" s="1">
        <v>426.56</v>
      </c>
      <c r="G151" s="2" t="s">
        <v>9</v>
      </c>
    </row>
    <row r="152" spans="1:7" x14ac:dyDescent="0.45">
      <c r="A152" s="2" t="s">
        <v>234</v>
      </c>
      <c r="B152" s="2" t="s">
        <v>206</v>
      </c>
      <c r="C152" s="1">
        <v>26</v>
      </c>
      <c r="D152" s="3">
        <v>46308</v>
      </c>
      <c r="E152" s="1">
        <v>5.27</v>
      </c>
      <c r="F152" s="1">
        <v>137.02000000000001</v>
      </c>
      <c r="G152" s="2" t="s">
        <v>9</v>
      </c>
    </row>
    <row r="153" spans="1:7" x14ac:dyDescent="0.45">
      <c r="A153" s="2" t="s">
        <v>235</v>
      </c>
      <c r="B153" s="2" t="s">
        <v>123</v>
      </c>
      <c r="C153" s="1">
        <v>55</v>
      </c>
      <c r="D153" s="3">
        <v>46308</v>
      </c>
      <c r="E153" s="1">
        <v>33.68</v>
      </c>
      <c r="F153" s="1">
        <v>1852.4</v>
      </c>
      <c r="G153" s="2" t="s">
        <v>9</v>
      </c>
    </row>
    <row r="154" spans="1:7" x14ac:dyDescent="0.45">
      <c r="A154" s="2" t="s">
        <v>236</v>
      </c>
      <c r="B154" s="2" t="s">
        <v>104</v>
      </c>
      <c r="C154" s="1">
        <v>95</v>
      </c>
      <c r="D154" s="3">
        <v>46308</v>
      </c>
      <c r="E154" s="1">
        <v>29.93</v>
      </c>
      <c r="F154" s="1">
        <v>2843.35</v>
      </c>
      <c r="G154" s="2" t="s">
        <v>9</v>
      </c>
    </row>
    <row r="155" spans="1:7" x14ac:dyDescent="0.45">
      <c r="A155" s="2" t="s">
        <v>237</v>
      </c>
      <c r="B155" s="2" t="s">
        <v>238</v>
      </c>
      <c r="C155" s="1">
        <v>103</v>
      </c>
      <c r="D155" s="3">
        <v>46308</v>
      </c>
      <c r="E155" s="1">
        <v>41.12</v>
      </c>
      <c r="F155" s="1">
        <v>4235.3599999999997</v>
      </c>
      <c r="G155" s="2" t="s">
        <v>9</v>
      </c>
    </row>
    <row r="156" spans="1:7" x14ac:dyDescent="0.45">
      <c r="A156" s="2" t="s">
        <v>239</v>
      </c>
      <c r="B156" s="2" t="s">
        <v>240</v>
      </c>
      <c r="C156" s="1">
        <v>738</v>
      </c>
      <c r="D156" s="3">
        <v>46308</v>
      </c>
      <c r="E156" s="1">
        <v>37.15</v>
      </c>
      <c r="F156" s="1">
        <v>27416.7</v>
      </c>
      <c r="G156" s="2" t="s">
        <v>9</v>
      </c>
    </row>
    <row r="157" spans="1:7" x14ac:dyDescent="0.45">
      <c r="A157" s="2" t="s">
        <v>241</v>
      </c>
      <c r="B157" s="2" t="s">
        <v>242</v>
      </c>
      <c r="C157" s="1">
        <v>387</v>
      </c>
      <c r="D157" s="3">
        <v>46308</v>
      </c>
      <c r="E157" s="1">
        <v>37.31</v>
      </c>
      <c r="F157" s="1">
        <v>14438.97</v>
      </c>
      <c r="G157" s="2" t="s">
        <v>9</v>
      </c>
    </row>
    <row r="158" spans="1:7" x14ac:dyDescent="0.45">
      <c r="A158" s="2" t="s">
        <v>243</v>
      </c>
      <c r="B158" s="2" t="s">
        <v>196</v>
      </c>
      <c r="C158" s="1">
        <v>325</v>
      </c>
      <c r="D158" s="3">
        <v>46308</v>
      </c>
      <c r="E158" s="1">
        <v>48.08</v>
      </c>
      <c r="F158" s="1">
        <v>15626</v>
      </c>
      <c r="G158" s="2" t="s">
        <v>9</v>
      </c>
    </row>
    <row r="159" spans="1:7" x14ac:dyDescent="0.45">
      <c r="A159" s="2" t="s">
        <v>244</v>
      </c>
      <c r="B159" s="2" t="s">
        <v>49</v>
      </c>
      <c r="C159" s="1">
        <v>165</v>
      </c>
      <c r="D159" s="3">
        <v>46308</v>
      </c>
      <c r="E159" s="1">
        <v>21.95</v>
      </c>
      <c r="F159" s="1">
        <v>3621.75</v>
      </c>
      <c r="G159" s="2" t="s">
        <v>9</v>
      </c>
    </row>
    <row r="160" spans="1:7" x14ac:dyDescent="0.45">
      <c r="A160" s="2" t="s">
        <v>245</v>
      </c>
      <c r="B160" s="2" t="s">
        <v>246</v>
      </c>
      <c r="C160" s="1">
        <v>848</v>
      </c>
      <c r="D160" s="3">
        <v>46308</v>
      </c>
      <c r="E160" s="1">
        <v>44.37</v>
      </c>
      <c r="F160" s="1">
        <v>37625.760000000002</v>
      </c>
      <c r="G160" s="2" t="s">
        <v>9</v>
      </c>
    </row>
    <row r="161" spans="1:7" x14ac:dyDescent="0.45">
      <c r="A161" s="2" t="s">
        <v>247</v>
      </c>
      <c r="B161" s="2" t="s">
        <v>86</v>
      </c>
      <c r="C161" s="1">
        <v>171</v>
      </c>
      <c r="D161" s="3">
        <v>46309</v>
      </c>
      <c r="E161" s="1">
        <v>3.74</v>
      </c>
      <c r="F161" s="1">
        <v>639.54</v>
      </c>
      <c r="G161" s="2" t="s">
        <v>9</v>
      </c>
    </row>
    <row r="162" spans="1:7" x14ac:dyDescent="0.45">
      <c r="A162" s="2" t="s">
        <v>248</v>
      </c>
      <c r="B162" s="2" t="s">
        <v>8</v>
      </c>
      <c r="C162" s="1">
        <v>111</v>
      </c>
      <c r="D162" s="3">
        <v>46309</v>
      </c>
      <c r="E162" s="1">
        <v>48.7</v>
      </c>
      <c r="F162" s="1">
        <v>5405.7</v>
      </c>
      <c r="G162" s="2" t="s">
        <v>9</v>
      </c>
    </row>
    <row r="163" spans="1:7" x14ac:dyDescent="0.45">
      <c r="A163" s="2" t="s">
        <v>249</v>
      </c>
      <c r="B163" s="2" t="s">
        <v>143</v>
      </c>
      <c r="C163" s="1">
        <v>406</v>
      </c>
      <c r="D163" s="3">
        <v>46310</v>
      </c>
      <c r="E163" s="1">
        <v>47.57</v>
      </c>
      <c r="F163" s="1">
        <v>19313.419999999998</v>
      </c>
      <c r="G163" s="2" t="s">
        <v>9</v>
      </c>
    </row>
    <row r="164" spans="1:7" x14ac:dyDescent="0.45">
      <c r="A164" s="2" t="s">
        <v>250</v>
      </c>
      <c r="B164" s="2" t="s">
        <v>8</v>
      </c>
      <c r="C164" s="1">
        <v>292</v>
      </c>
      <c r="D164" s="3">
        <v>46310</v>
      </c>
      <c r="E164" s="1">
        <v>48.7</v>
      </c>
      <c r="F164" s="1">
        <v>14220.4</v>
      </c>
      <c r="G164" s="2" t="s">
        <v>9</v>
      </c>
    </row>
    <row r="165" spans="1:7" x14ac:dyDescent="0.45">
      <c r="A165" s="2" t="s">
        <v>251</v>
      </c>
      <c r="B165" s="2" t="s">
        <v>252</v>
      </c>
      <c r="C165" s="1">
        <v>223</v>
      </c>
      <c r="D165" s="3">
        <v>46310</v>
      </c>
      <c r="E165" s="1">
        <v>49.21</v>
      </c>
      <c r="F165" s="1">
        <v>10973.83</v>
      </c>
      <c r="G165" s="2" t="s">
        <v>9</v>
      </c>
    </row>
    <row r="166" spans="1:7" x14ac:dyDescent="0.45">
      <c r="A166" s="2" t="s">
        <v>253</v>
      </c>
      <c r="B166" s="2" t="s">
        <v>23</v>
      </c>
      <c r="C166" s="1">
        <v>144</v>
      </c>
      <c r="D166" s="3">
        <v>46310</v>
      </c>
      <c r="E166" s="1">
        <v>49.5</v>
      </c>
      <c r="F166" s="1">
        <v>7128</v>
      </c>
      <c r="G166" s="2" t="s">
        <v>9</v>
      </c>
    </row>
    <row r="167" spans="1:7" x14ac:dyDescent="0.45">
      <c r="A167" s="2" t="s">
        <v>254</v>
      </c>
      <c r="B167" s="2" t="s">
        <v>158</v>
      </c>
      <c r="C167" s="1">
        <v>40</v>
      </c>
      <c r="D167" s="3">
        <v>46310</v>
      </c>
      <c r="E167" s="1">
        <v>38.33</v>
      </c>
      <c r="F167" s="1">
        <v>1533.2</v>
      </c>
      <c r="G167" s="2" t="s">
        <v>9</v>
      </c>
    </row>
    <row r="168" spans="1:7" x14ac:dyDescent="0.45">
      <c r="A168" s="2" t="s">
        <v>255</v>
      </c>
      <c r="B168" s="2" t="s">
        <v>176</v>
      </c>
      <c r="C168" s="1">
        <v>387</v>
      </c>
      <c r="D168" s="3">
        <v>46310</v>
      </c>
      <c r="E168" s="1">
        <v>8.5399999999999991</v>
      </c>
      <c r="F168" s="1">
        <v>3304.98</v>
      </c>
      <c r="G168" s="2" t="s">
        <v>9</v>
      </c>
    </row>
    <row r="169" spans="1:7" x14ac:dyDescent="0.45">
      <c r="A169" s="2" t="s">
        <v>256</v>
      </c>
      <c r="B169" s="2" t="s">
        <v>116</v>
      </c>
      <c r="C169" s="1">
        <v>17</v>
      </c>
      <c r="D169" s="3">
        <v>46310</v>
      </c>
      <c r="E169" s="1">
        <v>7.08</v>
      </c>
      <c r="F169" s="1">
        <v>120.36</v>
      </c>
      <c r="G169" s="2" t="s">
        <v>9</v>
      </c>
    </row>
    <row r="170" spans="1:7" x14ac:dyDescent="0.45">
      <c r="A170" s="2" t="s">
        <v>257</v>
      </c>
      <c r="B170" s="2" t="s">
        <v>258</v>
      </c>
      <c r="C170" s="1">
        <v>285</v>
      </c>
      <c r="D170" s="3">
        <v>46310</v>
      </c>
      <c r="E170" s="1">
        <v>22.06</v>
      </c>
      <c r="F170" s="1">
        <v>6287.1</v>
      </c>
      <c r="G170" s="2" t="s">
        <v>9</v>
      </c>
    </row>
    <row r="171" spans="1:7" x14ac:dyDescent="0.45">
      <c r="A171" s="2" t="s">
        <v>259</v>
      </c>
      <c r="B171" s="2" t="s">
        <v>233</v>
      </c>
      <c r="C171" s="1">
        <v>284</v>
      </c>
      <c r="D171" s="3">
        <v>46310</v>
      </c>
      <c r="E171" s="1">
        <v>13.76</v>
      </c>
      <c r="F171" s="1">
        <v>3907.84</v>
      </c>
      <c r="G171" s="2" t="s">
        <v>9</v>
      </c>
    </row>
    <row r="172" spans="1:7" x14ac:dyDescent="0.45">
      <c r="A172" s="2" t="s">
        <v>260</v>
      </c>
      <c r="B172" s="2" t="s">
        <v>209</v>
      </c>
      <c r="C172" s="1">
        <v>695</v>
      </c>
      <c r="D172" s="3">
        <v>46311</v>
      </c>
      <c r="E172" s="1">
        <v>47.37</v>
      </c>
      <c r="F172" s="1">
        <v>32922.15</v>
      </c>
      <c r="G172" s="2" t="s">
        <v>9</v>
      </c>
    </row>
    <row r="173" spans="1:7" x14ac:dyDescent="0.45">
      <c r="A173" s="2" t="s">
        <v>261</v>
      </c>
      <c r="B173" s="2" t="s">
        <v>262</v>
      </c>
      <c r="C173" s="1">
        <v>96</v>
      </c>
      <c r="D173" s="3">
        <v>46311</v>
      </c>
      <c r="E173" s="1">
        <v>1.54</v>
      </c>
      <c r="F173" s="1">
        <v>147.84</v>
      </c>
      <c r="G173" s="2" t="s">
        <v>9</v>
      </c>
    </row>
    <row r="174" spans="1:7" x14ac:dyDescent="0.45">
      <c r="A174" s="2" t="s">
        <v>263</v>
      </c>
      <c r="B174" s="2" t="s">
        <v>27</v>
      </c>
      <c r="C174" s="1">
        <v>933</v>
      </c>
      <c r="D174" s="3">
        <v>46311</v>
      </c>
      <c r="E174" s="1">
        <v>38.630000000000003</v>
      </c>
      <c r="F174" s="1">
        <v>36041.79</v>
      </c>
      <c r="G174" s="2" t="s">
        <v>9</v>
      </c>
    </row>
    <row r="175" spans="1:7" x14ac:dyDescent="0.45">
      <c r="A175" s="2" t="s">
        <v>264</v>
      </c>
      <c r="B175" s="2" t="s">
        <v>86</v>
      </c>
      <c r="C175" s="1">
        <v>133</v>
      </c>
      <c r="D175" s="3">
        <v>46311</v>
      </c>
      <c r="E175" s="1">
        <v>3.74</v>
      </c>
      <c r="F175" s="1">
        <v>497.42</v>
      </c>
      <c r="G175" s="2" t="s">
        <v>9</v>
      </c>
    </row>
    <row r="176" spans="1:7" x14ac:dyDescent="0.45">
      <c r="A176" s="2" t="s">
        <v>265</v>
      </c>
      <c r="B176" s="2" t="s">
        <v>23</v>
      </c>
      <c r="C176" s="1">
        <v>364</v>
      </c>
      <c r="D176" s="3">
        <v>46312</v>
      </c>
      <c r="E176" s="1">
        <v>49.5</v>
      </c>
      <c r="F176" s="1">
        <v>18018</v>
      </c>
      <c r="G176" s="2" t="s">
        <v>9</v>
      </c>
    </row>
    <row r="177" spans="1:7" x14ac:dyDescent="0.45">
      <c r="A177" s="2" t="s">
        <v>266</v>
      </c>
      <c r="B177" s="2" t="s">
        <v>185</v>
      </c>
      <c r="C177" s="1">
        <v>326</v>
      </c>
      <c r="D177" s="3">
        <v>46312</v>
      </c>
      <c r="E177" s="1">
        <v>34.36</v>
      </c>
      <c r="F177" s="1">
        <v>11201.36</v>
      </c>
      <c r="G177" s="2" t="s">
        <v>9</v>
      </c>
    </row>
    <row r="178" spans="1:7" x14ac:dyDescent="0.45">
      <c r="A178" s="2" t="s">
        <v>267</v>
      </c>
      <c r="B178" s="2" t="s">
        <v>143</v>
      </c>
      <c r="C178" s="1">
        <v>183</v>
      </c>
      <c r="D178" s="3">
        <v>46312</v>
      </c>
      <c r="E178" s="1">
        <v>47.57</v>
      </c>
      <c r="F178" s="1">
        <v>8705.31</v>
      </c>
      <c r="G178" s="2" t="s">
        <v>9</v>
      </c>
    </row>
    <row r="179" spans="1:7" x14ac:dyDescent="0.45">
      <c r="A179" s="2" t="s">
        <v>268</v>
      </c>
      <c r="B179" s="2" t="s">
        <v>233</v>
      </c>
      <c r="C179" s="1">
        <v>34</v>
      </c>
      <c r="D179" s="3">
        <v>46312</v>
      </c>
      <c r="E179" s="1">
        <v>13.76</v>
      </c>
      <c r="F179" s="1">
        <v>467.84</v>
      </c>
      <c r="G179" s="2" t="s">
        <v>9</v>
      </c>
    </row>
    <row r="180" spans="1:7" x14ac:dyDescent="0.45">
      <c r="A180" s="2" t="s">
        <v>269</v>
      </c>
      <c r="B180" s="2" t="s">
        <v>108</v>
      </c>
      <c r="C180" s="1">
        <v>229</v>
      </c>
      <c r="D180" s="3">
        <v>46313</v>
      </c>
      <c r="E180" s="1">
        <v>24.53</v>
      </c>
      <c r="F180" s="1">
        <v>5617.37</v>
      </c>
      <c r="G180" s="2" t="s">
        <v>9</v>
      </c>
    </row>
    <row r="181" spans="1:7" x14ac:dyDescent="0.45">
      <c r="A181" s="2" t="s">
        <v>270</v>
      </c>
      <c r="B181" s="2" t="s">
        <v>189</v>
      </c>
      <c r="C181" s="1">
        <v>101</v>
      </c>
      <c r="D181" s="3">
        <v>46313</v>
      </c>
      <c r="E181" s="1">
        <v>34.76</v>
      </c>
      <c r="F181" s="1">
        <v>3510.76</v>
      </c>
      <c r="G181" s="2" t="s">
        <v>9</v>
      </c>
    </row>
    <row r="182" spans="1:7" x14ac:dyDescent="0.45">
      <c r="A182" s="2" t="s">
        <v>271</v>
      </c>
      <c r="B182" s="2" t="s">
        <v>272</v>
      </c>
      <c r="C182" s="1">
        <v>454</v>
      </c>
      <c r="D182" s="3">
        <v>46313</v>
      </c>
      <c r="E182" s="1">
        <v>30.64</v>
      </c>
      <c r="F182" s="1">
        <v>13910.56</v>
      </c>
      <c r="G182" s="2" t="s">
        <v>9</v>
      </c>
    </row>
    <row r="183" spans="1:7" x14ac:dyDescent="0.45">
      <c r="A183" s="2" t="s">
        <v>273</v>
      </c>
      <c r="B183" s="2" t="s">
        <v>66</v>
      </c>
      <c r="C183" s="1">
        <v>277</v>
      </c>
      <c r="D183" s="3">
        <v>46313</v>
      </c>
      <c r="E183" s="1">
        <v>48.75</v>
      </c>
      <c r="F183" s="1">
        <v>13503.75</v>
      </c>
      <c r="G183" s="2" t="s">
        <v>9</v>
      </c>
    </row>
    <row r="184" spans="1:7" x14ac:dyDescent="0.45">
      <c r="A184" s="2" t="s">
        <v>274</v>
      </c>
      <c r="B184" s="2" t="s">
        <v>192</v>
      </c>
      <c r="C184" s="1">
        <v>60</v>
      </c>
      <c r="D184" s="3">
        <v>46313</v>
      </c>
      <c r="E184" s="1">
        <v>45.46</v>
      </c>
      <c r="F184" s="1">
        <v>2727.6</v>
      </c>
      <c r="G184" s="2" t="s">
        <v>9</v>
      </c>
    </row>
    <row r="185" spans="1:7" x14ac:dyDescent="0.45">
      <c r="A185" s="2" t="s">
        <v>275</v>
      </c>
      <c r="B185" s="2" t="s">
        <v>91</v>
      </c>
      <c r="C185" s="1">
        <v>494</v>
      </c>
      <c r="D185" s="3">
        <v>46314</v>
      </c>
      <c r="E185" s="1">
        <v>16.03</v>
      </c>
      <c r="F185" s="1">
        <v>7918.82</v>
      </c>
      <c r="G185" s="2" t="s">
        <v>9</v>
      </c>
    </row>
    <row r="186" spans="1:7" x14ac:dyDescent="0.45">
      <c r="A186" s="2" t="s">
        <v>276</v>
      </c>
      <c r="B186" s="2" t="s">
        <v>277</v>
      </c>
      <c r="C186" s="1">
        <v>118</v>
      </c>
      <c r="D186" s="3">
        <v>46314</v>
      </c>
      <c r="E186" s="1">
        <v>31.3</v>
      </c>
      <c r="F186" s="1">
        <v>3693.4</v>
      </c>
      <c r="G186" s="2" t="s">
        <v>9</v>
      </c>
    </row>
    <row r="187" spans="1:7" x14ac:dyDescent="0.45">
      <c r="A187" s="2" t="s">
        <v>278</v>
      </c>
      <c r="B187" s="2" t="s">
        <v>196</v>
      </c>
      <c r="C187" s="1">
        <v>411</v>
      </c>
      <c r="D187" s="3">
        <v>46314</v>
      </c>
      <c r="E187" s="1">
        <v>48.08</v>
      </c>
      <c r="F187" s="1">
        <v>19760.88</v>
      </c>
      <c r="G187" s="2" t="s">
        <v>9</v>
      </c>
    </row>
    <row r="188" spans="1:7" x14ac:dyDescent="0.45">
      <c r="A188" s="2" t="s">
        <v>279</v>
      </c>
      <c r="B188" s="2" t="s">
        <v>280</v>
      </c>
      <c r="C188" s="1">
        <v>320</v>
      </c>
      <c r="D188" s="3">
        <v>46314</v>
      </c>
      <c r="E188" s="1">
        <v>9.27</v>
      </c>
      <c r="F188" s="1">
        <v>2966.4</v>
      </c>
      <c r="G188" s="2" t="s">
        <v>9</v>
      </c>
    </row>
    <row r="189" spans="1:7" x14ac:dyDescent="0.45">
      <c r="A189" s="2" t="s">
        <v>281</v>
      </c>
      <c r="B189" s="2" t="s">
        <v>79</v>
      </c>
      <c r="C189" s="1">
        <v>46</v>
      </c>
      <c r="D189" s="3">
        <v>46314</v>
      </c>
      <c r="E189" s="1">
        <v>42.2</v>
      </c>
      <c r="F189" s="1">
        <v>1941.2</v>
      </c>
      <c r="G189" s="2" t="s">
        <v>9</v>
      </c>
    </row>
    <row r="190" spans="1:7" x14ac:dyDescent="0.45">
      <c r="A190" s="2" t="s">
        <v>282</v>
      </c>
      <c r="B190" s="2" t="s">
        <v>233</v>
      </c>
      <c r="C190" s="1">
        <v>322</v>
      </c>
      <c r="D190" s="3">
        <v>46315</v>
      </c>
      <c r="E190" s="1">
        <v>13.76</v>
      </c>
      <c r="F190" s="1">
        <v>4430.72</v>
      </c>
      <c r="G190" s="2" t="s">
        <v>9</v>
      </c>
    </row>
    <row r="191" spans="1:7" x14ac:dyDescent="0.45">
      <c r="A191" s="2" t="s">
        <v>283</v>
      </c>
      <c r="B191" s="2" t="s">
        <v>29</v>
      </c>
      <c r="C191" s="1">
        <v>270</v>
      </c>
      <c r="D191" s="3">
        <v>46315</v>
      </c>
      <c r="E191" s="1">
        <v>36.979999999999997</v>
      </c>
      <c r="F191" s="1">
        <v>9984.6</v>
      </c>
      <c r="G191" s="2" t="s">
        <v>9</v>
      </c>
    </row>
    <row r="192" spans="1:7" x14ac:dyDescent="0.45">
      <c r="A192" s="2" t="s">
        <v>284</v>
      </c>
      <c r="B192" s="2" t="s">
        <v>146</v>
      </c>
      <c r="C192" s="1">
        <v>106</v>
      </c>
      <c r="D192" s="3">
        <v>46315</v>
      </c>
      <c r="E192" s="1">
        <v>16.3</v>
      </c>
      <c r="F192" s="1">
        <v>1727.8</v>
      </c>
      <c r="G192" s="2" t="s">
        <v>9</v>
      </c>
    </row>
    <row r="193" spans="1:7" x14ac:dyDescent="0.45">
      <c r="A193" s="2" t="s">
        <v>285</v>
      </c>
      <c r="B193" s="2" t="s">
        <v>21</v>
      </c>
      <c r="C193" s="1">
        <v>307</v>
      </c>
      <c r="D193" s="3">
        <v>46315</v>
      </c>
      <c r="E193" s="1">
        <v>35.72</v>
      </c>
      <c r="F193" s="1">
        <v>10966.04</v>
      </c>
      <c r="G193" s="2" t="s">
        <v>9</v>
      </c>
    </row>
    <row r="194" spans="1:7" x14ac:dyDescent="0.45">
      <c r="A194" s="2" t="s">
        <v>286</v>
      </c>
      <c r="B194" s="2" t="s">
        <v>143</v>
      </c>
      <c r="C194" s="1">
        <v>683</v>
      </c>
      <c r="D194" s="3">
        <v>46315</v>
      </c>
      <c r="E194" s="1">
        <v>47.57</v>
      </c>
      <c r="F194" s="1">
        <v>32490.31</v>
      </c>
      <c r="G194" s="2" t="s">
        <v>9</v>
      </c>
    </row>
    <row r="195" spans="1:7" x14ac:dyDescent="0.45">
      <c r="A195" s="2" t="s">
        <v>287</v>
      </c>
      <c r="B195" s="2" t="s">
        <v>242</v>
      </c>
      <c r="C195" s="1">
        <v>921</v>
      </c>
      <c r="D195" s="3">
        <v>46316</v>
      </c>
      <c r="E195" s="1">
        <v>37.31</v>
      </c>
      <c r="F195" s="1">
        <v>34362.51</v>
      </c>
      <c r="G195" s="2" t="s">
        <v>9</v>
      </c>
    </row>
    <row r="196" spans="1:7" x14ac:dyDescent="0.45">
      <c r="A196" s="2" t="s">
        <v>288</v>
      </c>
      <c r="B196" s="2" t="s">
        <v>289</v>
      </c>
      <c r="C196" s="1">
        <v>207</v>
      </c>
      <c r="D196" s="3">
        <v>46316</v>
      </c>
      <c r="E196" s="1">
        <v>30.26</v>
      </c>
      <c r="F196" s="1">
        <v>6263.82</v>
      </c>
      <c r="G196" s="2" t="s">
        <v>9</v>
      </c>
    </row>
    <row r="197" spans="1:7" x14ac:dyDescent="0.45">
      <c r="A197" s="2" t="s">
        <v>290</v>
      </c>
      <c r="B197" s="2" t="s">
        <v>291</v>
      </c>
      <c r="C197" s="1">
        <v>168</v>
      </c>
      <c r="D197" s="3">
        <v>46316</v>
      </c>
      <c r="E197" s="1">
        <v>16.28</v>
      </c>
      <c r="F197" s="1">
        <v>2735.04</v>
      </c>
      <c r="G197" s="2" t="s">
        <v>9</v>
      </c>
    </row>
    <row r="198" spans="1:7" x14ac:dyDescent="0.45">
      <c r="A198" s="2" t="s">
        <v>292</v>
      </c>
      <c r="B198" s="2" t="s">
        <v>21</v>
      </c>
      <c r="C198" s="1">
        <v>8</v>
      </c>
      <c r="D198" s="3">
        <v>46317</v>
      </c>
      <c r="E198" s="1">
        <v>35.72</v>
      </c>
      <c r="F198" s="1">
        <v>285.76</v>
      </c>
      <c r="G198" s="2" t="s">
        <v>293</v>
      </c>
    </row>
    <row r="199" spans="1:7" x14ac:dyDescent="0.45">
      <c r="A199" s="2" t="s">
        <v>294</v>
      </c>
      <c r="B199" s="2" t="s">
        <v>160</v>
      </c>
      <c r="C199" s="1">
        <v>34</v>
      </c>
      <c r="D199" s="3">
        <v>46318</v>
      </c>
      <c r="E199" s="1">
        <v>44.61</v>
      </c>
      <c r="F199" s="1">
        <v>1516.74</v>
      </c>
      <c r="G199" s="2" t="s">
        <v>293</v>
      </c>
    </row>
    <row r="200" spans="1:7" x14ac:dyDescent="0.45">
      <c r="A200" s="2" t="s">
        <v>295</v>
      </c>
      <c r="B200" s="2" t="s">
        <v>158</v>
      </c>
      <c r="C200" s="1">
        <v>38</v>
      </c>
      <c r="D200" s="3">
        <v>46318</v>
      </c>
      <c r="E200" s="1">
        <v>38.33</v>
      </c>
      <c r="F200" s="1">
        <v>1456.54</v>
      </c>
      <c r="G200" s="2" t="s">
        <v>293</v>
      </c>
    </row>
    <row r="201" spans="1:7" x14ac:dyDescent="0.45">
      <c r="A201" s="2" t="s">
        <v>296</v>
      </c>
      <c r="B201" s="2" t="s">
        <v>11</v>
      </c>
      <c r="C201" s="1">
        <v>124</v>
      </c>
      <c r="D201" s="3">
        <v>46318</v>
      </c>
      <c r="E201" s="1">
        <v>24.04</v>
      </c>
      <c r="F201" s="1">
        <v>2980.96</v>
      </c>
      <c r="G201" s="2" t="s">
        <v>293</v>
      </c>
    </row>
    <row r="202" spans="1:7" x14ac:dyDescent="0.45">
      <c r="A202" s="2" t="s">
        <v>297</v>
      </c>
      <c r="B202" s="2" t="s">
        <v>94</v>
      </c>
      <c r="C202" s="1">
        <v>169</v>
      </c>
      <c r="D202" s="3">
        <v>46318</v>
      </c>
      <c r="E202" s="1">
        <v>17.18</v>
      </c>
      <c r="F202" s="1">
        <v>2903.42</v>
      </c>
      <c r="G202" s="2" t="s">
        <v>293</v>
      </c>
    </row>
    <row r="203" spans="1:7" x14ac:dyDescent="0.45">
      <c r="A203" s="2" t="s">
        <v>298</v>
      </c>
      <c r="B203" s="2" t="s">
        <v>299</v>
      </c>
      <c r="C203" s="1">
        <v>135</v>
      </c>
      <c r="D203" s="3">
        <v>46319</v>
      </c>
      <c r="E203" s="1">
        <v>6.08</v>
      </c>
      <c r="F203" s="1">
        <v>820.8</v>
      </c>
      <c r="G203" s="2" t="s">
        <v>293</v>
      </c>
    </row>
    <row r="204" spans="1:7" x14ac:dyDescent="0.45">
      <c r="A204" s="2" t="s">
        <v>300</v>
      </c>
      <c r="B204" s="2" t="s">
        <v>47</v>
      </c>
      <c r="C204" s="1">
        <v>41</v>
      </c>
      <c r="D204" s="3">
        <v>46320</v>
      </c>
      <c r="E204" s="1">
        <v>7.51</v>
      </c>
      <c r="F204" s="1">
        <v>307.91000000000003</v>
      </c>
      <c r="G204" s="2" t="s">
        <v>293</v>
      </c>
    </row>
    <row r="205" spans="1:7" x14ac:dyDescent="0.45">
      <c r="A205" s="2" t="s">
        <v>301</v>
      </c>
      <c r="B205" s="2" t="s">
        <v>82</v>
      </c>
      <c r="C205" s="1">
        <v>194</v>
      </c>
      <c r="D205" s="3">
        <v>46320</v>
      </c>
      <c r="E205" s="1">
        <v>18</v>
      </c>
      <c r="F205" s="1">
        <v>3492</v>
      </c>
      <c r="G205" s="2" t="s">
        <v>293</v>
      </c>
    </row>
    <row r="206" spans="1:7" x14ac:dyDescent="0.45">
      <c r="A206" s="2" t="s">
        <v>302</v>
      </c>
      <c r="B206" s="2" t="s">
        <v>171</v>
      </c>
      <c r="C206" s="1">
        <v>17</v>
      </c>
      <c r="D206" s="3">
        <v>46320</v>
      </c>
      <c r="E206" s="1">
        <v>23.36</v>
      </c>
      <c r="F206" s="1">
        <v>397.12</v>
      </c>
      <c r="G206" s="2" t="s">
        <v>293</v>
      </c>
    </row>
    <row r="207" spans="1:7" x14ac:dyDescent="0.45">
      <c r="A207" s="2" t="s">
        <v>303</v>
      </c>
      <c r="B207" s="2" t="s">
        <v>37</v>
      </c>
      <c r="C207" s="1">
        <v>637</v>
      </c>
      <c r="D207" s="3">
        <v>46320</v>
      </c>
      <c r="E207" s="1">
        <v>34.28</v>
      </c>
      <c r="F207" s="1">
        <v>21836.36</v>
      </c>
      <c r="G207" s="2" t="s">
        <v>293</v>
      </c>
    </row>
    <row r="208" spans="1:7" x14ac:dyDescent="0.45">
      <c r="A208" s="2" t="s">
        <v>304</v>
      </c>
      <c r="B208" s="2" t="s">
        <v>29</v>
      </c>
      <c r="C208" s="1">
        <v>109</v>
      </c>
      <c r="D208" s="3">
        <v>46320</v>
      </c>
      <c r="E208" s="1">
        <v>36.979999999999997</v>
      </c>
      <c r="F208" s="1">
        <v>4030.82</v>
      </c>
      <c r="G208" s="2" t="s">
        <v>293</v>
      </c>
    </row>
    <row r="209" spans="1:7" x14ac:dyDescent="0.45">
      <c r="A209" s="2" t="s">
        <v>305</v>
      </c>
      <c r="B209" s="2" t="s">
        <v>37</v>
      </c>
      <c r="C209" s="1">
        <v>211</v>
      </c>
      <c r="D209" s="3">
        <v>46321</v>
      </c>
      <c r="E209" s="1">
        <v>34.28</v>
      </c>
      <c r="F209" s="1">
        <v>7233.08</v>
      </c>
      <c r="G209" s="2" t="s">
        <v>293</v>
      </c>
    </row>
    <row r="210" spans="1:7" x14ac:dyDescent="0.45">
      <c r="A210" s="2" t="s">
        <v>306</v>
      </c>
      <c r="B210" s="2" t="s">
        <v>16</v>
      </c>
      <c r="C210" s="1">
        <v>140</v>
      </c>
      <c r="D210" s="3">
        <v>46321</v>
      </c>
      <c r="E210" s="1">
        <v>46.55</v>
      </c>
      <c r="F210" s="1">
        <v>6517</v>
      </c>
      <c r="G210" s="2" t="s">
        <v>293</v>
      </c>
    </row>
    <row r="211" spans="1:7" x14ac:dyDescent="0.45">
      <c r="A211" s="2" t="s">
        <v>307</v>
      </c>
      <c r="B211" s="2" t="s">
        <v>215</v>
      </c>
      <c r="C211" s="1">
        <v>736</v>
      </c>
      <c r="D211" s="3">
        <v>46321</v>
      </c>
      <c r="E211" s="1">
        <v>45.6</v>
      </c>
      <c r="F211" s="1">
        <v>33561.599999999999</v>
      </c>
      <c r="G211" s="2" t="s">
        <v>293</v>
      </c>
    </row>
    <row r="212" spans="1:7" x14ac:dyDescent="0.45">
      <c r="A212" s="2" t="s">
        <v>308</v>
      </c>
      <c r="B212" s="2" t="s">
        <v>31</v>
      </c>
      <c r="C212" s="1">
        <v>89</v>
      </c>
      <c r="D212" s="3">
        <v>46322</v>
      </c>
      <c r="E212" s="1">
        <v>28.86</v>
      </c>
      <c r="F212" s="1">
        <v>2568.54</v>
      </c>
      <c r="G212" s="2" t="s">
        <v>293</v>
      </c>
    </row>
    <row r="213" spans="1:7" x14ac:dyDescent="0.45">
      <c r="A213" s="2" t="s">
        <v>309</v>
      </c>
      <c r="B213" s="2" t="s">
        <v>162</v>
      </c>
      <c r="C213" s="1">
        <v>161</v>
      </c>
      <c r="D213" s="3">
        <v>46323</v>
      </c>
      <c r="E213" s="1">
        <v>29.25</v>
      </c>
      <c r="F213" s="1">
        <v>4709.25</v>
      </c>
      <c r="G213" s="2" t="s">
        <v>293</v>
      </c>
    </row>
    <row r="214" spans="1:7" x14ac:dyDescent="0.45">
      <c r="A214" s="2" t="s">
        <v>310</v>
      </c>
      <c r="B214" s="2" t="s">
        <v>33</v>
      </c>
      <c r="C214" s="1">
        <v>91</v>
      </c>
      <c r="D214" s="3">
        <v>46323</v>
      </c>
      <c r="E214" s="1">
        <v>27.62</v>
      </c>
      <c r="F214" s="1">
        <v>2513.42</v>
      </c>
      <c r="G214" s="2" t="s">
        <v>293</v>
      </c>
    </row>
    <row r="215" spans="1:7" x14ac:dyDescent="0.45">
      <c r="A215" s="2" t="s">
        <v>311</v>
      </c>
      <c r="B215" s="2" t="s">
        <v>219</v>
      </c>
      <c r="C215" s="1">
        <v>504</v>
      </c>
      <c r="D215" s="3">
        <v>46323</v>
      </c>
      <c r="E215" s="1">
        <v>16.739999999999998</v>
      </c>
      <c r="F215" s="1">
        <v>8436.9599999999991</v>
      </c>
      <c r="G215" s="2" t="s">
        <v>293</v>
      </c>
    </row>
    <row r="216" spans="1:7" x14ac:dyDescent="0.45">
      <c r="A216" s="2" t="s">
        <v>312</v>
      </c>
      <c r="B216" s="2" t="s">
        <v>73</v>
      </c>
      <c r="C216" s="1">
        <v>675</v>
      </c>
      <c r="D216" s="3">
        <v>46323</v>
      </c>
      <c r="E216" s="1">
        <v>2.81</v>
      </c>
      <c r="F216" s="1">
        <v>1896.75</v>
      </c>
      <c r="G216" s="2" t="s">
        <v>293</v>
      </c>
    </row>
    <row r="217" spans="1:7" x14ac:dyDescent="0.45">
      <c r="A217" s="2" t="s">
        <v>313</v>
      </c>
      <c r="B217" s="2" t="s">
        <v>104</v>
      </c>
      <c r="C217" s="1">
        <v>345</v>
      </c>
      <c r="D217" s="3">
        <v>46324</v>
      </c>
      <c r="E217" s="1">
        <v>29.93</v>
      </c>
      <c r="F217" s="1">
        <v>10325.85</v>
      </c>
      <c r="G217" s="2" t="s">
        <v>293</v>
      </c>
    </row>
    <row r="218" spans="1:7" x14ac:dyDescent="0.45">
      <c r="A218" s="2" t="s">
        <v>314</v>
      </c>
      <c r="B218" s="2" t="s">
        <v>291</v>
      </c>
      <c r="C218" s="1">
        <v>94</v>
      </c>
      <c r="D218" s="3">
        <v>46324</v>
      </c>
      <c r="E218" s="1">
        <v>16.28</v>
      </c>
      <c r="F218" s="1">
        <v>1530.32</v>
      </c>
      <c r="G218" s="2" t="s">
        <v>293</v>
      </c>
    </row>
    <row r="219" spans="1:7" x14ac:dyDescent="0.45">
      <c r="A219" s="2" t="s">
        <v>315</v>
      </c>
      <c r="B219" s="2" t="s">
        <v>152</v>
      </c>
      <c r="C219" s="1">
        <v>165</v>
      </c>
      <c r="D219" s="3">
        <v>46324</v>
      </c>
      <c r="E219" s="1">
        <v>44.54</v>
      </c>
      <c r="F219" s="1">
        <v>7349.1</v>
      </c>
      <c r="G219" s="2" t="s">
        <v>293</v>
      </c>
    </row>
    <row r="220" spans="1:7" x14ac:dyDescent="0.45">
      <c r="A220" s="2" t="s">
        <v>316</v>
      </c>
      <c r="B220" s="2" t="s">
        <v>57</v>
      </c>
      <c r="C220" s="1">
        <v>354</v>
      </c>
      <c r="D220" s="3">
        <v>46324</v>
      </c>
      <c r="E220" s="1">
        <v>3.69</v>
      </c>
      <c r="F220" s="1">
        <v>1306.26</v>
      </c>
      <c r="G220" s="2" t="s">
        <v>293</v>
      </c>
    </row>
    <row r="221" spans="1:7" x14ac:dyDescent="0.45">
      <c r="A221" s="2" t="s">
        <v>317</v>
      </c>
      <c r="B221" s="2" t="s">
        <v>318</v>
      </c>
      <c r="C221" s="1">
        <v>564</v>
      </c>
      <c r="D221" s="3">
        <v>46326</v>
      </c>
      <c r="E221" s="1">
        <v>49.91</v>
      </c>
      <c r="F221" s="1">
        <v>28149.24</v>
      </c>
      <c r="G221" s="2" t="s">
        <v>293</v>
      </c>
    </row>
    <row r="222" spans="1:7" x14ac:dyDescent="0.45">
      <c r="A222" s="2" t="s">
        <v>319</v>
      </c>
      <c r="B222" s="2" t="s">
        <v>104</v>
      </c>
      <c r="C222" s="1">
        <v>576</v>
      </c>
      <c r="D222" s="3">
        <v>46326</v>
      </c>
      <c r="E222" s="1">
        <v>29.93</v>
      </c>
      <c r="F222" s="1">
        <v>17239.68</v>
      </c>
      <c r="G222" s="2" t="s">
        <v>293</v>
      </c>
    </row>
    <row r="223" spans="1:7" x14ac:dyDescent="0.45">
      <c r="A223" s="2" t="s">
        <v>320</v>
      </c>
      <c r="B223" s="2" t="s">
        <v>35</v>
      </c>
      <c r="C223" s="1">
        <v>143</v>
      </c>
      <c r="D223" s="3">
        <v>46327</v>
      </c>
      <c r="E223" s="1">
        <v>31.68</v>
      </c>
      <c r="F223" s="1">
        <v>4530.24</v>
      </c>
      <c r="G223" s="2" t="s">
        <v>293</v>
      </c>
    </row>
    <row r="224" spans="1:7" x14ac:dyDescent="0.45">
      <c r="A224" s="2" t="s">
        <v>321</v>
      </c>
      <c r="B224" s="2" t="s">
        <v>41</v>
      </c>
      <c r="C224" s="1">
        <v>509</v>
      </c>
      <c r="D224" s="3">
        <v>46327</v>
      </c>
      <c r="E224" s="1">
        <v>2.4700000000000002</v>
      </c>
      <c r="F224" s="1">
        <v>1257.23</v>
      </c>
      <c r="G224" s="2" t="s">
        <v>293</v>
      </c>
    </row>
    <row r="225" spans="1:7" x14ac:dyDescent="0.45">
      <c r="A225" s="2" t="s">
        <v>322</v>
      </c>
      <c r="B225" s="2" t="s">
        <v>89</v>
      </c>
      <c r="C225" s="1">
        <v>52</v>
      </c>
      <c r="D225" s="3">
        <v>46328</v>
      </c>
      <c r="E225" s="1">
        <v>15.09</v>
      </c>
      <c r="F225" s="1">
        <v>784.68</v>
      </c>
      <c r="G225" s="2" t="s">
        <v>293</v>
      </c>
    </row>
    <row r="226" spans="1:7" x14ac:dyDescent="0.45">
      <c r="A226" s="2" t="s">
        <v>323</v>
      </c>
      <c r="B226" s="2" t="s">
        <v>11</v>
      </c>
      <c r="C226" s="1">
        <v>21</v>
      </c>
      <c r="D226" s="3">
        <v>46328</v>
      </c>
      <c r="E226" s="1">
        <v>24.04</v>
      </c>
      <c r="F226" s="1">
        <v>504.84</v>
      </c>
      <c r="G226" s="2" t="s">
        <v>293</v>
      </c>
    </row>
    <row r="227" spans="1:7" x14ac:dyDescent="0.45">
      <c r="A227" s="2" t="s">
        <v>324</v>
      </c>
      <c r="B227" s="2" t="s">
        <v>113</v>
      </c>
      <c r="C227" s="1">
        <v>104</v>
      </c>
      <c r="D227" s="3">
        <v>46328</v>
      </c>
      <c r="E227" s="1">
        <v>34.26</v>
      </c>
      <c r="F227" s="1">
        <v>3563.04</v>
      </c>
      <c r="G227" s="2" t="s">
        <v>293</v>
      </c>
    </row>
    <row r="228" spans="1:7" x14ac:dyDescent="0.45">
      <c r="A228" s="2" t="s">
        <v>325</v>
      </c>
      <c r="B228" s="2" t="s">
        <v>11</v>
      </c>
      <c r="C228" s="1">
        <v>285</v>
      </c>
      <c r="D228" s="3">
        <v>46328</v>
      </c>
      <c r="E228" s="1">
        <v>24.04</v>
      </c>
      <c r="F228" s="1">
        <v>6851.4</v>
      </c>
      <c r="G228" s="2" t="s">
        <v>293</v>
      </c>
    </row>
    <row r="229" spans="1:7" x14ac:dyDescent="0.45">
      <c r="A229" s="2" t="s">
        <v>326</v>
      </c>
      <c r="B229" s="2" t="s">
        <v>104</v>
      </c>
      <c r="C229" s="1">
        <v>563</v>
      </c>
      <c r="D229" s="3">
        <v>46328</v>
      </c>
      <c r="E229" s="1">
        <v>29.93</v>
      </c>
      <c r="F229" s="1">
        <v>16850.59</v>
      </c>
      <c r="G229" s="2" t="s">
        <v>293</v>
      </c>
    </row>
    <row r="230" spans="1:7" x14ac:dyDescent="0.45">
      <c r="A230" s="2" t="s">
        <v>327</v>
      </c>
      <c r="B230" s="2" t="s">
        <v>328</v>
      </c>
      <c r="C230" s="1">
        <v>320</v>
      </c>
      <c r="D230" s="3">
        <v>46329</v>
      </c>
      <c r="E230" s="1">
        <v>19.18</v>
      </c>
      <c r="F230" s="1">
        <v>6137.6</v>
      </c>
      <c r="G230" s="2" t="s">
        <v>293</v>
      </c>
    </row>
    <row r="231" spans="1:7" x14ac:dyDescent="0.45">
      <c r="A231" s="2" t="s">
        <v>329</v>
      </c>
      <c r="B231" s="2" t="s">
        <v>16</v>
      </c>
      <c r="C231" s="1">
        <v>177</v>
      </c>
      <c r="D231" s="3">
        <v>46329</v>
      </c>
      <c r="E231" s="1">
        <v>46.55</v>
      </c>
      <c r="F231" s="1">
        <v>8239.35</v>
      </c>
      <c r="G231" s="2" t="s">
        <v>293</v>
      </c>
    </row>
    <row r="232" spans="1:7" x14ac:dyDescent="0.45">
      <c r="A232" s="2" t="s">
        <v>330</v>
      </c>
      <c r="B232" s="2" t="s">
        <v>331</v>
      </c>
      <c r="C232" s="1">
        <v>100</v>
      </c>
      <c r="D232" s="3">
        <v>46330</v>
      </c>
      <c r="E232" s="1">
        <v>1.23</v>
      </c>
      <c r="F232" s="1">
        <v>123</v>
      </c>
      <c r="G232" s="2" t="s">
        <v>293</v>
      </c>
    </row>
    <row r="233" spans="1:7" x14ac:dyDescent="0.45">
      <c r="A233" s="2" t="s">
        <v>332</v>
      </c>
      <c r="B233" s="2" t="s">
        <v>299</v>
      </c>
      <c r="C233" s="1">
        <v>93</v>
      </c>
      <c r="D233" s="3">
        <v>46330</v>
      </c>
      <c r="E233" s="1">
        <v>6.08</v>
      </c>
      <c r="F233" s="1">
        <v>565.44000000000005</v>
      </c>
      <c r="G233" s="2" t="s">
        <v>293</v>
      </c>
    </row>
    <row r="234" spans="1:7" x14ac:dyDescent="0.45">
      <c r="A234" s="2" t="s">
        <v>333</v>
      </c>
      <c r="B234" s="2" t="s">
        <v>233</v>
      </c>
      <c r="C234" s="1">
        <v>32</v>
      </c>
      <c r="D234" s="3">
        <v>46330</v>
      </c>
      <c r="E234" s="1">
        <v>13.76</v>
      </c>
      <c r="F234" s="1">
        <v>440.32</v>
      </c>
      <c r="G234" s="2" t="s">
        <v>293</v>
      </c>
    </row>
    <row r="235" spans="1:7" x14ac:dyDescent="0.45">
      <c r="A235" s="2" t="s">
        <v>334</v>
      </c>
      <c r="B235" s="2" t="s">
        <v>33</v>
      </c>
      <c r="C235" s="1">
        <v>775</v>
      </c>
      <c r="D235" s="3">
        <v>46330</v>
      </c>
      <c r="E235" s="1">
        <v>27.62</v>
      </c>
      <c r="F235" s="1">
        <v>21405.5</v>
      </c>
      <c r="G235" s="2" t="s">
        <v>293</v>
      </c>
    </row>
    <row r="236" spans="1:7" x14ac:dyDescent="0.45">
      <c r="A236" s="2" t="s">
        <v>335</v>
      </c>
      <c r="B236" s="2" t="s">
        <v>258</v>
      </c>
      <c r="C236" s="1">
        <v>461</v>
      </c>
      <c r="D236" s="3">
        <v>46330</v>
      </c>
      <c r="E236" s="1">
        <v>22.06</v>
      </c>
      <c r="F236" s="1">
        <v>10169.66</v>
      </c>
      <c r="G236" s="2" t="s">
        <v>293</v>
      </c>
    </row>
    <row r="237" spans="1:7" x14ac:dyDescent="0.45">
      <c r="A237" s="2" t="s">
        <v>336</v>
      </c>
      <c r="B237" s="2" t="s">
        <v>94</v>
      </c>
      <c r="C237" s="1">
        <v>399</v>
      </c>
      <c r="D237" s="3">
        <v>46330</v>
      </c>
      <c r="E237" s="1">
        <v>17.18</v>
      </c>
      <c r="F237" s="1">
        <v>6854.82</v>
      </c>
      <c r="G237" s="2" t="s">
        <v>293</v>
      </c>
    </row>
    <row r="238" spans="1:7" x14ac:dyDescent="0.45">
      <c r="A238" s="2" t="s">
        <v>337</v>
      </c>
      <c r="B238" s="2" t="s">
        <v>110</v>
      </c>
      <c r="C238" s="1">
        <v>297</v>
      </c>
      <c r="D238" s="3">
        <v>46331</v>
      </c>
      <c r="E238" s="1">
        <v>33.72</v>
      </c>
      <c r="F238" s="1">
        <v>10014.84</v>
      </c>
      <c r="G238" s="2" t="s">
        <v>293</v>
      </c>
    </row>
    <row r="239" spans="1:7" x14ac:dyDescent="0.45">
      <c r="A239" s="2" t="s">
        <v>338</v>
      </c>
      <c r="B239" s="2" t="s">
        <v>339</v>
      </c>
      <c r="C239" s="1">
        <v>505</v>
      </c>
      <c r="D239" s="3">
        <v>46332</v>
      </c>
      <c r="E239" s="1">
        <v>25.15</v>
      </c>
      <c r="F239" s="1">
        <v>12700.75</v>
      </c>
      <c r="G239" s="2" t="s">
        <v>293</v>
      </c>
    </row>
    <row r="240" spans="1:7" x14ac:dyDescent="0.45">
      <c r="A240" s="2" t="s">
        <v>340</v>
      </c>
      <c r="B240" s="2" t="s">
        <v>192</v>
      </c>
      <c r="C240" s="1">
        <v>834</v>
      </c>
      <c r="D240" s="3">
        <v>46333</v>
      </c>
      <c r="E240" s="1">
        <v>45.46</v>
      </c>
      <c r="F240" s="1">
        <v>37913.64</v>
      </c>
      <c r="G240" s="2" t="s">
        <v>293</v>
      </c>
    </row>
    <row r="241" spans="1:7" x14ac:dyDescent="0.45">
      <c r="A241" s="2" t="s">
        <v>341</v>
      </c>
      <c r="B241" s="2" t="s">
        <v>342</v>
      </c>
      <c r="C241" s="1">
        <v>148</v>
      </c>
      <c r="D241" s="3">
        <v>46333</v>
      </c>
      <c r="E241" s="1">
        <v>16.86</v>
      </c>
      <c r="F241" s="1">
        <v>2495.2800000000002</v>
      </c>
      <c r="G241" s="2" t="s">
        <v>293</v>
      </c>
    </row>
    <row r="242" spans="1:7" x14ac:dyDescent="0.45">
      <c r="A242" s="2" t="s">
        <v>343</v>
      </c>
      <c r="B242" s="2" t="s">
        <v>23</v>
      </c>
      <c r="C242" s="1">
        <v>233</v>
      </c>
      <c r="D242" s="3">
        <v>46334</v>
      </c>
      <c r="E242" s="1">
        <v>49.5</v>
      </c>
      <c r="F242" s="1">
        <v>11533.5</v>
      </c>
      <c r="G242" s="2" t="s">
        <v>293</v>
      </c>
    </row>
    <row r="243" spans="1:7" x14ac:dyDescent="0.45">
      <c r="A243" s="2" t="s">
        <v>344</v>
      </c>
      <c r="B243" s="2" t="s">
        <v>37</v>
      </c>
      <c r="C243" s="1">
        <v>42</v>
      </c>
      <c r="D243" s="3">
        <v>46334</v>
      </c>
      <c r="E243" s="1">
        <v>34.28</v>
      </c>
      <c r="F243" s="1">
        <v>1439.76</v>
      </c>
      <c r="G243" s="2" t="s">
        <v>293</v>
      </c>
    </row>
    <row r="244" spans="1:7" x14ac:dyDescent="0.45">
      <c r="A244" s="2" t="s">
        <v>345</v>
      </c>
      <c r="B244" s="2" t="s">
        <v>89</v>
      </c>
      <c r="C244" s="1">
        <v>66</v>
      </c>
      <c r="D244" s="3">
        <v>46335</v>
      </c>
      <c r="E244" s="1">
        <v>15.09</v>
      </c>
      <c r="F244" s="1">
        <v>995.94</v>
      </c>
      <c r="G244" s="2" t="s">
        <v>293</v>
      </c>
    </row>
    <row r="245" spans="1:7" x14ac:dyDescent="0.45">
      <c r="A245" s="2" t="s">
        <v>346</v>
      </c>
      <c r="B245" s="2" t="s">
        <v>113</v>
      </c>
      <c r="C245" s="1">
        <v>837</v>
      </c>
      <c r="D245" s="3">
        <v>46335</v>
      </c>
      <c r="E245" s="1">
        <v>34.26</v>
      </c>
      <c r="F245" s="1">
        <v>28675.62</v>
      </c>
      <c r="G245" s="2" t="s">
        <v>293</v>
      </c>
    </row>
    <row r="246" spans="1:7" x14ac:dyDescent="0.45">
      <c r="A246" s="2" t="s">
        <v>347</v>
      </c>
      <c r="B246" s="2" t="s">
        <v>35</v>
      </c>
      <c r="C246" s="1">
        <v>334</v>
      </c>
      <c r="D246" s="3">
        <v>46335</v>
      </c>
      <c r="E246" s="1">
        <v>31.68</v>
      </c>
      <c r="F246" s="1">
        <v>10581.12</v>
      </c>
      <c r="G246" s="2" t="s">
        <v>293</v>
      </c>
    </row>
    <row r="247" spans="1:7" x14ac:dyDescent="0.45">
      <c r="A247" s="2" t="s">
        <v>348</v>
      </c>
      <c r="B247" s="2" t="s">
        <v>102</v>
      </c>
      <c r="C247" s="1">
        <v>311</v>
      </c>
      <c r="D247" s="3">
        <v>46335</v>
      </c>
      <c r="E247" s="1">
        <v>44.95</v>
      </c>
      <c r="F247" s="1">
        <v>13979.45</v>
      </c>
      <c r="G247" s="2" t="s">
        <v>293</v>
      </c>
    </row>
    <row r="248" spans="1:7" x14ac:dyDescent="0.45">
      <c r="A248" s="2" t="s">
        <v>349</v>
      </c>
      <c r="B248" s="2" t="s">
        <v>242</v>
      </c>
      <c r="C248" s="1">
        <v>90</v>
      </c>
      <c r="D248" s="3">
        <v>46335</v>
      </c>
      <c r="E248" s="1">
        <v>37.31</v>
      </c>
      <c r="F248" s="1">
        <v>3357.9</v>
      </c>
      <c r="G248" s="2" t="s">
        <v>293</v>
      </c>
    </row>
    <row r="249" spans="1:7" x14ac:dyDescent="0.45">
      <c r="A249" s="2" t="s">
        <v>350</v>
      </c>
      <c r="B249" s="2" t="s">
        <v>196</v>
      </c>
      <c r="C249" s="1">
        <v>478</v>
      </c>
      <c r="D249" s="3">
        <v>46335</v>
      </c>
      <c r="E249" s="1">
        <v>48.08</v>
      </c>
      <c r="F249" s="1">
        <v>22982.240000000002</v>
      </c>
      <c r="G249" s="2" t="s">
        <v>293</v>
      </c>
    </row>
    <row r="250" spans="1:7" x14ac:dyDescent="0.45">
      <c r="A250" s="2" t="s">
        <v>351</v>
      </c>
      <c r="B250" s="2" t="s">
        <v>352</v>
      </c>
      <c r="C250" s="1">
        <v>40</v>
      </c>
      <c r="D250" s="3">
        <v>46336</v>
      </c>
      <c r="E250" s="1">
        <v>34.42</v>
      </c>
      <c r="F250" s="1">
        <v>1376.8</v>
      </c>
      <c r="G250" s="2" t="s">
        <v>293</v>
      </c>
    </row>
    <row r="251" spans="1:7" x14ac:dyDescent="0.45">
      <c r="A251" s="2" t="s">
        <v>353</v>
      </c>
      <c r="B251" s="2" t="s">
        <v>27</v>
      </c>
      <c r="C251" s="1">
        <v>304</v>
      </c>
      <c r="D251" s="3">
        <v>46336</v>
      </c>
      <c r="E251" s="1">
        <v>38.630000000000003</v>
      </c>
      <c r="F251" s="1">
        <v>11743.52</v>
      </c>
      <c r="G251" s="2" t="s">
        <v>293</v>
      </c>
    </row>
    <row r="252" spans="1:7" x14ac:dyDescent="0.45">
      <c r="A252" s="2" t="s">
        <v>354</v>
      </c>
      <c r="B252" s="2" t="s">
        <v>66</v>
      </c>
      <c r="C252" s="1">
        <v>65</v>
      </c>
      <c r="D252" s="3">
        <v>46336</v>
      </c>
      <c r="E252" s="1">
        <v>48.75</v>
      </c>
      <c r="F252" s="1">
        <v>3168.75</v>
      </c>
      <c r="G252" s="2" t="s">
        <v>293</v>
      </c>
    </row>
    <row r="253" spans="1:7" x14ac:dyDescent="0.45">
      <c r="A253" s="2" t="s">
        <v>355</v>
      </c>
      <c r="B253" s="2" t="s">
        <v>108</v>
      </c>
      <c r="C253" s="1">
        <v>297</v>
      </c>
      <c r="D253" s="3">
        <v>46336</v>
      </c>
      <c r="E253" s="1">
        <v>24.53</v>
      </c>
      <c r="F253" s="1">
        <v>7285.41</v>
      </c>
      <c r="G253" s="2" t="s">
        <v>293</v>
      </c>
    </row>
    <row r="254" spans="1:7" x14ac:dyDescent="0.45">
      <c r="A254" s="2" t="s">
        <v>356</v>
      </c>
      <c r="B254" s="2" t="s">
        <v>357</v>
      </c>
      <c r="C254" s="1">
        <v>624</v>
      </c>
      <c r="D254" s="3">
        <v>46337</v>
      </c>
      <c r="E254" s="1">
        <v>45.88</v>
      </c>
      <c r="F254" s="1">
        <v>28629.119999999999</v>
      </c>
      <c r="G254" s="2" t="s">
        <v>293</v>
      </c>
    </row>
    <row r="255" spans="1:7" x14ac:dyDescent="0.45">
      <c r="A255" s="2" t="s">
        <v>358</v>
      </c>
      <c r="B255" s="2" t="s">
        <v>33</v>
      </c>
      <c r="C255" s="1">
        <v>146</v>
      </c>
      <c r="D255" s="3">
        <v>46337</v>
      </c>
      <c r="E255" s="1">
        <v>27.62</v>
      </c>
      <c r="F255" s="1">
        <v>4032.52</v>
      </c>
      <c r="G255" s="2" t="s">
        <v>293</v>
      </c>
    </row>
    <row r="256" spans="1:7" x14ac:dyDescent="0.45">
      <c r="A256" s="2" t="s">
        <v>359</v>
      </c>
      <c r="B256" s="2" t="s">
        <v>73</v>
      </c>
      <c r="C256" s="1">
        <v>91</v>
      </c>
      <c r="D256" s="3">
        <v>46337</v>
      </c>
      <c r="E256" s="1">
        <v>2.81</v>
      </c>
      <c r="F256" s="1">
        <v>255.71</v>
      </c>
      <c r="G256" s="2" t="s">
        <v>293</v>
      </c>
    </row>
    <row r="257" spans="1:7" x14ac:dyDescent="0.45">
      <c r="A257" s="2" t="s">
        <v>360</v>
      </c>
      <c r="B257" s="2" t="s">
        <v>35</v>
      </c>
      <c r="C257" s="1">
        <v>321</v>
      </c>
      <c r="D257" s="3">
        <v>46337</v>
      </c>
      <c r="E257" s="1">
        <v>31.68</v>
      </c>
      <c r="F257" s="1">
        <v>10169.280000000001</v>
      </c>
      <c r="G257" s="2" t="s">
        <v>293</v>
      </c>
    </row>
    <row r="258" spans="1:7" x14ac:dyDescent="0.45">
      <c r="A258" s="2" t="s">
        <v>361</v>
      </c>
      <c r="B258" s="2" t="s">
        <v>82</v>
      </c>
      <c r="C258" s="1">
        <v>342</v>
      </c>
      <c r="D258" s="3">
        <v>46337</v>
      </c>
      <c r="E258" s="1">
        <v>18</v>
      </c>
      <c r="F258" s="1">
        <v>6156</v>
      </c>
      <c r="G258" s="2" t="s">
        <v>293</v>
      </c>
    </row>
    <row r="259" spans="1:7" x14ac:dyDescent="0.45">
      <c r="A259" s="2" t="s">
        <v>362</v>
      </c>
      <c r="B259" s="2" t="s">
        <v>27</v>
      </c>
      <c r="C259" s="1">
        <v>113</v>
      </c>
      <c r="D259" s="3">
        <v>46337</v>
      </c>
      <c r="E259" s="1">
        <v>38.630000000000003</v>
      </c>
      <c r="F259" s="1">
        <v>4365.1899999999996</v>
      </c>
      <c r="G259" s="2" t="s">
        <v>293</v>
      </c>
    </row>
    <row r="260" spans="1:7" x14ac:dyDescent="0.45">
      <c r="A260" s="2" t="s">
        <v>363</v>
      </c>
      <c r="B260" s="2" t="s">
        <v>121</v>
      </c>
      <c r="C260" s="1">
        <v>48</v>
      </c>
      <c r="D260" s="3">
        <v>46338</v>
      </c>
      <c r="E260" s="1">
        <v>30.88</v>
      </c>
      <c r="F260" s="1">
        <v>1482.24</v>
      </c>
      <c r="G260" s="2" t="s">
        <v>293</v>
      </c>
    </row>
    <row r="261" spans="1:7" x14ac:dyDescent="0.45">
      <c r="A261" s="2" t="s">
        <v>364</v>
      </c>
      <c r="B261" s="2" t="s">
        <v>280</v>
      </c>
      <c r="C261" s="1">
        <v>93</v>
      </c>
      <c r="D261" s="3">
        <v>46338</v>
      </c>
      <c r="E261" s="1">
        <v>9.27</v>
      </c>
      <c r="F261" s="1">
        <v>862.11</v>
      </c>
      <c r="G261" s="2" t="s">
        <v>293</v>
      </c>
    </row>
    <row r="262" spans="1:7" x14ac:dyDescent="0.45">
      <c r="A262" s="2" t="s">
        <v>365</v>
      </c>
      <c r="B262" s="2" t="s">
        <v>196</v>
      </c>
      <c r="C262" s="1">
        <v>937</v>
      </c>
      <c r="D262" s="3">
        <v>46338</v>
      </c>
      <c r="E262" s="1">
        <v>48.08</v>
      </c>
      <c r="F262" s="1">
        <v>45050.96</v>
      </c>
      <c r="G262" s="2" t="s">
        <v>293</v>
      </c>
    </row>
    <row r="263" spans="1:7" x14ac:dyDescent="0.45">
      <c r="A263" s="2" t="s">
        <v>366</v>
      </c>
      <c r="B263" s="2" t="s">
        <v>11</v>
      </c>
      <c r="C263" s="1">
        <v>608</v>
      </c>
      <c r="D263" s="3">
        <v>46338</v>
      </c>
      <c r="E263" s="1">
        <v>24.04</v>
      </c>
      <c r="F263" s="1">
        <v>14616.32</v>
      </c>
      <c r="G263" s="2" t="s">
        <v>293</v>
      </c>
    </row>
    <row r="264" spans="1:7" x14ac:dyDescent="0.45">
      <c r="A264" s="2" t="s">
        <v>367</v>
      </c>
      <c r="B264" s="2" t="s">
        <v>185</v>
      </c>
      <c r="C264" s="1">
        <v>18</v>
      </c>
      <c r="D264" s="3">
        <v>46339</v>
      </c>
      <c r="E264" s="1">
        <v>34.36</v>
      </c>
      <c r="F264" s="1">
        <v>618.48</v>
      </c>
      <c r="G264" s="2" t="s">
        <v>293</v>
      </c>
    </row>
    <row r="265" spans="1:7" x14ac:dyDescent="0.45">
      <c r="A265" s="2" t="s">
        <v>368</v>
      </c>
      <c r="B265" s="2" t="s">
        <v>242</v>
      </c>
      <c r="C265" s="1">
        <v>158</v>
      </c>
      <c r="D265" s="3">
        <v>46339</v>
      </c>
      <c r="E265" s="1">
        <v>37.31</v>
      </c>
      <c r="F265" s="1">
        <v>5894.98</v>
      </c>
      <c r="G265" s="2" t="s">
        <v>293</v>
      </c>
    </row>
    <row r="266" spans="1:7" x14ac:dyDescent="0.45">
      <c r="A266" s="2" t="s">
        <v>369</v>
      </c>
      <c r="B266" s="2" t="s">
        <v>342</v>
      </c>
      <c r="C266" s="1">
        <v>8</v>
      </c>
      <c r="D266" s="3">
        <v>46340</v>
      </c>
      <c r="E266" s="1">
        <v>16.86</v>
      </c>
      <c r="F266" s="1">
        <v>134.88</v>
      </c>
      <c r="G266" s="2" t="s">
        <v>293</v>
      </c>
    </row>
    <row r="267" spans="1:7" x14ac:dyDescent="0.45">
      <c r="A267" s="2" t="s">
        <v>370</v>
      </c>
      <c r="B267" s="2" t="s">
        <v>185</v>
      </c>
      <c r="C267" s="1">
        <v>488</v>
      </c>
      <c r="D267" s="3">
        <v>46340</v>
      </c>
      <c r="E267" s="1">
        <v>34.36</v>
      </c>
      <c r="F267" s="1">
        <v>16767.68</v>
      </c>
      <c r="G267" s="2" t="s">
        <v>293</v>
      </c>
    </row>
    <row r="268" spans="1:7" x14ac:dyDescent="0.45">
      <c r="A268" s="2" t="s">
        <v>371</v>
      </c>
      <c r="B268" s="2" t="s">
        <v>57</v>
      </c>
      <c r="C268" s="1">
        <v>69</v>
      </c>
      <c r="D268" s="3">
        <v>46340</v>
      </c>
      <c r="E268" s="1">
        <v>3.69</v>
      </c>
      <c r="F268" s="1">
        <v>254.61</v>
      </c>
      <c r="G268" s="2" t="s">
        <v>293</v>
      </c>
    </row>
    <row r="269" spans="1:7" x14ac:dyDescent="0.45">
      <c r="A269" s="2" t="s">
        <v>372</v>
      </c>
      <c r="B269" s="2" t="s">
        <v>41</v>
      </c>
      <c r="C269" s="1">
        <v>2</v>
      </c>
      <c r="D269" s="3">
        <v>46340</v>
      </c>
      <c r="E269" s="1">
        <v>2.4700000000000002</v>
      </c>
      <c r="F269" s="1">
        <v>4.9400000000000004</v>
      </c>
      <c r="G269" s="2" t="s">
        <v>293</v>
      </c>
    </row>
    <row r="270" spans="1:7" x14ac:dyDescent="0.45">
      <c r="A270" s="2" t="s">
        <v>373</v>
      </c>
      <c r="B270" s="2" t="s">
        <v>374</v>
      </c>
      <c r="C270" s="1">
        <v>546</v>
      </c>
      <c r="D270" s="3">
        <v>46341</v>
      </c>
      <c r="E270" s="1">
        <v>38.65</v>
      </c>
      <c r="F270" s="1">
        <v>21102.9</v>
      </c>
      <c r="G270" s="2" t="s">
        <v>293</v>
      </c>
    </row>
    <row r="271" spans="1:7" x14ac:dyDescent="0.45">
      <c r="A271" s="2" t="s">
        <v>375</v>
      </c>
      <c r="B271" s="2" t="s">
        <v>37</v>
      </c>
      <c r="C271" s="1">
        <v>720</v>
      </c>
      <c r="D271" s="3">
        <v>46341</v>
      </c>
      <c r="E271" s="1">
        <v>34.28</v>
      </c>
      <c r="F271" s="1">
        <v>24681.599999999999</v>
      </c>
      <c r="G271" s="2" t="s">
        <v>293</v>
      </c>
    </row>
    <row r="272" spans="1:7" x14ac:dyDescent="0.45">
      <c r="A272" s="2" t="s">
        <v>376</v>
      </c>
      <c r="B272" s="2" t="s">
        <v>123</v>
      </c>
      <c r="C272" s="1">
        <v>125</v>
      </c>
      <c r="D272" s="3">
        <v>46341</v>
      </c>
      <c r="E272" s="1">
        <v>33.68</v>
      </c>
      <c r="F272" s="1">
        <v>4210</v>
      </c>
      <c r="G272" s="2" t="s">
        <v>293</v>
      </c>
    </row>
    <row r="273" spans="1:7" x14ac:dyDescent="0.45">
      <c r="A273" s="2" t="s">
        <v>377</v>
      </c>
      <c r="B273" s="2" t="s">
        <v>215</v>
      </c>
      <c r="C273" s="1">
        <v>333</v>
      </c>
      <c r="D273" s="3">
        <v>46341</v>
      </c>
      <c r="E273" s="1">
        <v>45.6</v>
      </c>
      <c r="F273" s="1">
        <v>15184.8</v>
      </c>
      <c r="G273" s="2" t="s">
        <v>293</v>
      </c>
    </row>
    <row r="274" spans="1:7" x14ac:dyDescent="0.45">
      <c r="A274" s="2" t="s">
        <v>378</v>
      </c>
      <c r="B274" s="2" t="s">
        <v>129</v>
      </c>
      <c r="C274" s="1">
        <v>62</v>
      </c>
      <c r="D274" s="3">
        <v>46341</v>
      </c>
      <c r="E274" s="1">
        <v>11.57</v>
      </c>
      <c r="F274" s="1">
        <v>717.34</v>
      </c>
      <c r="G274" s="2" t="s">
        <v>293</v>
      </c>
    </row>
    <row r="275" spans="1:7" x14ac:dyDescent="0.45">
      <c r="A275" s="2" t="s">
        <v>379</v>
      </c>
      <c r="B275" s="2" t="s">
        <v>57</v>
      </c>
      <c r="C275" s="1">
        <v>48</v>
      </c>
      <c r="D275" s="3">
        <v>46342</v>
      </c>
      <c r="E275" s="1">
        <v>3.69</v>
      </c>
      <c r="F275" s="1">
        <v>177.12</v>
      </c>
      <c r="G275" s="2" t="s">
        <v>293</v>
      </c>
    </row>
    <row r="276" spans="1:7" x14ac:dyDescent="0.45">
      <c r="A276" s="2" t="s">
        <v>380</v>
      </c>
      <c r="B276" s="2" t="s">
        <v>189</v>
      </c>
      <c r="C276" s="1">
        <v>76</v>
      </c>
      <c r="D276" s="3">
        <v>46342</v>
      </c>
      <c r="E276" s="1">
        <v>34.76</v>
      </c>
      <c r="F276" s="1">
        <v>2641.76</v>
      </c>
      <c r="G276" s="2" t="s">
        <v>293</v>
      </c>
    </row>
    <row r="277" spans="1:7" x14ac:dyDescent="0.45">
      <c r="A277" s="2" t="s">
        <v>381</v>
      </c>
      <c r="B277" s="2" t="s">
        <v>63</v>
      </c>
      <c r="C277" s="1">
        <v>55</v>
      </c>
      <c r="D277" s="3">
        <v>46342</v>
      </c>
      <c r="E277" s="1">
        <v>46.81</v>
      </c>
      <c r="F277" s="1">
        <v>2574.5500000000002</v>
      </c>
      <c r="G277" s="2" t="s">
        <v>293</v>
      </c>
    </row>
    <row r="278" spans="1:7" x14ac:dyDescent="0.45">
      <c r="A278" s="2" t="s">
        <v>382</v>
      </c>
      <c r="B278" s="2" t="s">
        <v>51</v>
      </c>
      <c r="C278" s="1">
        <v>115</v>
      </c>
      <c r="D278" s="3">
        <v>46342</v>
      </c>
      <c r="E278" s="1">
        <v>3.18</v>
      </c>
      <c r="F278" s="1">
        <v>365.7</v>
      </c>
      <c r="G278" s="2" t="s">
        <v>293</v>
      </c>
    </row>
    <row r="279" spans="1:7" x14ac:dyDescent="0.45">
      <c r="A279" s="2" t="s">
        <v>383</v>
      </c>
      <c r="B279" s="2" t="s">
        <v>289</v>
      </c>
      <c r="C279" s="1">
        <v>15</v>
      </c>
      <c r="D279" s="3">
        <v>46343</v>
      </c>
      <c r="E279" s="1">
        <v>30.26</v>
      </c>
      <c r="F279" s="1">
        <v>453.9</v>
      </c>
      <c r="G279" s="2" t="s">
        <v>293</v>
      </c>
    </row>
    <row r="280" spans="1:7" x14ac:dyDescent="0.45">
      <c r="A280" s="2" t="s">
        <v>384</v>
      </c>
      <c r="B280" s="2" t="s">
        <v>215</v>
      </c>
      <c r="C280" s="1">
        <v>73</v>
      </c>
      <c r="D280" s="3">
        <v>46343</v>
      </c>
      <c r="E280" s="1">
        <v>45.6</v>
      </c>
      <c r="F280" s="1">
        <v>3328.8</v>
      </c>
      <c r="G280" s="2" t="s">
        <v>293</v>
      </c>
    </row>
    <row r="281" spans="1:7" x14ac:dyDescent="0.45">
      <c r="A281" s="2" t="s">
        <v>385</v>
      </c>
      <c r="B281" s="2" t="s">
        <v>118</v>
      </c>
      <c r="C281" s="1">
        <v>62</v>
      </c>
      <c r="D281" s="3">
        <v>46343</v>
      </c>
      <c r="E281" s="1">
        <v>19.72</v>
      </c>
      <c r="F281" s="1">
        <v>1222.6400000000001</v>
      </c>
      <c r="G281" s="2" t="s">
        <v>293</v>
      </c>
    </row>
    <row r="282" spans="1:7" x14ac:dyDescent="0.45">
      <c r="A282" s="2" t="s">
        <v>386</v>
      </c>
      <c r="B282" s="2" t="s">
        <v>33</v>
      </c>
      <c r="C282" s="1">
        <v>481</v>
      </c>
      <c r="D282" s="3">
        <v>46344</v>
      </c>
      <c r="E282" s="1">
        <v>27.62</v>
      </c>
      <c r="F282" s="1">
        <v>13285.22</v>
      </c>
      <c r="G282" s="2" t="s">
        <v>293</v>
      </c>
    </row>
    <row r="283" spans="1:7" x14ac:dyDescent="0.45">
      <c r="A283" s="2" t="s">
        <v>387</v>
      </c>
      <c r="B283" s="2" t="s">
        <v>146</v>
      </c>
      <c r="C283" s="1">
        <v>644</v>
      </c>
      <c r="D283" s="3">
        <v>46344</v>
      </c>
      <c r="E283" s="1">
        <v>16.3</v>
      </c>
      <c r="F283" s="1">
        <v>10497.2</v>
      </c>
      <c r="G283" s="2" t="s">
        <v>293</v>
      </c>
    </row>
    <row r="284" spans="1:7" x14ac:dyDescent="0.45">
      <c r="A284" s="2" t="s">
        <v>388</v>
      </c>
      <c r="B284" s="2" t="s">
        <v>33</v>
      </c>
      <c r="C284" s="1">
        <v>259</v>
      </c>
      <c r="D284" s="3">
        <v>46344</v>
      </c>
      <c r="E284" s="1">
        <v>27.62</v>
      </c>
      <c r="F284" s="1">
        <v>7153.58</v>
      </c>
      <c r="G284" s="2" t="s">
        <v>293</v>
      </c>
    </row>
    <row r="285" spans="1:7" x14ac:dyDescent="0.45">
      <c r="A285" s="2" t="s">
        <v>389</v>
      </c>
      <c r="B285" s="2" t="s">
        <v>140</v>
      </c>
      <c r="C285" s="1">
        <v>165</v>
      </c>
      <c r="D285" s="3">
        <v>46346</v>
      </c>
      <c r="E285" s="1">
        <v>15.43</v>
      </c>
      <c r="F285" s="1">
        <v>2545.9499999999998</v>
      </c>
      <c r="G285" s="2" t="s">
        <v>293</v>
      </c>
    </row>
    <row r="286" spans="1:7" x14ac:dyDescent="0.45">
      <c r="A286" s="2" t="s">
        <v>390</v>
      </c>
      <c r="B286" s="2" t="s">
        <v>75</v>
      </c>
      <c r="C286" s="1">
        <v>296</v>
      </c>
      <c r="D286" s="3">
        <v>46347</v>
      </c>
      <c r="E286" s="1">
        <v>5.28</v>
      </c>
      <c r="F286" s="1">
        <v>1562.88</v>
      </c>
      <c r="G286" s="2" t="s">
        <v>293</v>
      </c>
    </row>
    <row r="287" spans="1:7" x14ac:dyDescent="0.45">
      <c r="A287" s="2" t="s">
        <v>391</v>
      </c>
      <c r="B287" s="2" t="s">
        <v>35</v>
      </c>
      <c r="C287" s="1">
        <v>748</v>
      </c>
      <c r="D287" s="3">
        <v>46347</v>
      </c>
      <c r="E287" s="1">
        <v>31.68</v>
      </c>
      <c r="F287" s="1">
        <v>23696.639999999999</v>
      </c>
      <c r="G287" s="2" t="s">
        <v>293</v>
      </c>
    </row>
    <row r="288" spans="1:7" x14ac:dyDescent="0.45">
      <c r="A288" s="2" t="s">
        <v>392</v>
      </c>
      <c r="B288" s="2" t="s">
        <v>86</v>
      </c>
      <c r="C288" s="1">
        <v>37</v>
      </c>
      <c r="D288" s="3">
        <v>46348</v>
      </c>
      <c r="E288" s="1">
        <v>3.74</v>
      </c>
      <c r="F288" s="1">
        <v>138.38</v>
      </c>
      <c r="G288" s="2" t="s">
        <v>293</v>
      </c>
    </row>
    <row r="289" spans="1:7" x14ac:dyDescent="0.45">
      <c r="A289" s="2" t="s">
        <v>393</v>
      </c>
      <c r="B289" s="2" t="s">
        <v>94</v>
      </c>
      <c r="C289" s="1">
        <v>250</v>
      </c>
      <c r="D289" s="3">
        <v>46348</v>
      </c>
      <c r="E289" s="1">
        <v>17.18</v>
      </c>
      <c r="F289" s="1">
        <v>4295</v>
      </c>
      <c r="G289" s="2" t="s">
        <v>293</v>
      </c>
    </row>
    <row r="290" spans="1:7" x14ac:dyDescent="0.45">
      <c r="A290" s="2" t="s">
        <v>394</v>
      </c>
      <c r="B290" s="2" t="s">
        <v>99</v>
      </c>
      <c r="C290" s="1">
        <v>144</v>
      </c>
      <c r="D290" s="3">
        <v>46348</v>
      </c>
      <c r="E290" s="1">
        <v>28.16</v>
      </c>
      <c r="F290" s="1">
        <v>4055.04</v>
      </c>
      <c r="G290" s="2" t="s">
        <v>293</v>
      </c>
    </row>
    <row r="291" spans="1:7" x14ac:dyDescent="0.45">
      <c r="A291" s="2" t="s">
        <v>395</v>
      </c>
      <c r="B291" s="2" t="s">
        <v>53</v>
      </c>
      <c r="C291" s="1">
        <v>753</v>
      </c>
      <c r="D291" s="3">
        <v>46348</v>
      </c>
      <c r="E291" s="1">
        <v>24.65</v>
      </c>
      <c r="F291" s="1">
        <v>18561.45</v>
      </c>
      <c r="G291" s="2" t="s">
        <v>293</v>
      </c>
    </row>
    <row r="292" spans="1:7" x14ac:dyDescent="0.45">
      <c r="A292" s="2" t="s">
        <v>396</v>
      </c>
      <c r="B292" s="2" t="s">
        <v>86</v>
      </c>
      <c r="C292" s="1">
        <v>13</v>
      </c>
      <c r="D292" s="3">
        <v>46348</v>
      </c>
      <c r="E292" s="1">
        <v>3.74</v>
      </c>
      <c r="F292" s="1">
        <v>48.62</v>
      </c>
      <c r="G292" s="2" t="s">
        <v>293</v>
      </c>
    </row>
    <row r="293" spans="1:7" x14ac:dyDescent="0.45">
      <c r="A293" s="2" t="s">
        <v>397</v>
      </c>
      <c r="B293" s="2" t="s">
        <v>189</v>
      </c>
      <c r="C293" s="1">
        <v>728</v>
      </c>
      <c r="D293" s="3">
        <v>46348</v>
      </c>
      <c r="E293" s="1">
        <v>34.76</v>
      </c>
      <c r="F293" s="1">
        <v>25305.279999999999</v>
      </c>
      <c r="G293" s="2" t="s">
        <v>293</v>
      </c>
    </row>
    <row r="294" spans="1:7" x14ac:dyDescent="0.45">
      <c r="A294" s="2" t="s">
        <v>398</v>
      </c>
      <c r="B294" s="2" t="s">
        <v>176</v>
      </c>
      <c r="C294" s="1">
        <v>49</v>
      </c>
      <c r="D294" s="3">
        <v>46349</v>
      </c>
      <c r="E294" s="1">
        <v>8.5399999999999991</v>
      </c>
      <c r="F294" s="1">
        <v>418.46</v>
      </c>
      <c r="G294" s="2" t="s">
        <v>293</v>
      </c>
    </row>
    <row r="295" spans="1:7" x14ac:dyDescent="0.45">
      <c r="A295" s="2" t="s">
        <v>399</v>
      </c>
      <c r="B295" s="2" t="s">
        <v>8</v>
      </c>
      <c r="C295" s="1">
        <v>128</v>
      </c>
      <c r="D295" s="3">
        <v>46349</v>
      </c>
      <c r="E295" s="1">
        <v>48.7</v>
      </c>
      <c r="F295" s="1">
        <v>6233.6</v>
      </c>
      <c r="G295" s="2" t="s">
        <v>293</v>
      </c>
    </row>
    <row r="296" spans="1:7" x14ac:dyDescent="0.45">
      <c r="A296" s="2" t="s">
        <v>400</v>
      </c>
      <c r="B296" s="2" t="s">
        <v>140</v>
      </c>
      <c r="C296" s="1">
        <v>132</v>
      </c>
      <c r="D296" s="3">
        <v>46349</v>
      </c>
      <c r="E296" s="1">
        <v>15.43</v>
      </c>
      <c r="F296" s="1">
        <v>2036.76</v>
      </c>
      <c r="G296" s="2" t="s">
        <v>293</v>
      </c>
    </row>
    <row r="297" spans="1:7" x14ac:dyDescent="0.45">
      <c r="A297" s="2" t="s">
        <v>401</v>
      </c>
      <c r="B297" s="2" t="s">
        <v>318</v>
      </c>
      <c r="C297" s="1">
        <v>223</v>
      </c>
      <c r="D297" s="3">
        <v>46349</v>
      </c>
      <c r="E297" s="1">
        <v>49.91</v>
      </c>
      <c r="F297" s="1">
        <v>11129.93</v>
      </c>
      <c r="G297" s="2" t="s">
        <v>293</v>
      </c>
    </row>
    <row r="298" spans="1:7" x14ac:dyDescent="0.45">
      <c r="A298" s="2" t="s">
        <v>402</v>
      </c>
      <c r="B298" s="2" t="s">
        <v>140</v>
      </c>
      <c r="C298" s="1">
        <v>669</v>
      </c>
      <c r="D298" s="3">
        <v>46350</v>
      </c>
      <c r="E298" s="1">
        <v>15.43</v>
      </c>
      <c r="F298" s="1">
        <v>10322.67</v>
      </c>
      <c r="G298" s="2" t="s">
        <v>293</v>
      </c>
    </row>
    <row r="299" spans="1:7" x14ac:dyDescent="0.45">
      <c r="A299" s="2" t="s">
        <v>403</v>
      </c>
      <c r="B299" s="2" t="s">
        <v>258</v>
      </c>
      <c r="C299" s="1">
        <v>314</v>
      </c>
      <c r="D299" s="3">
        <v>46350</v>
      </c>
      <c r="E299" s="1">
        <v>22.06</v>
      </c>
      <c r="F299" s="1">
        <v>6926.84</v>
      </c>
      <c r="G299" s="2" t="s">
        <v>293</v>
      </c>
    </row>
    <row r="300" spans="1:7" x14ac:dyDescent="0.45">
      <c r="A300" s="2" t="s">
        <v>404</v>
      </c>
      <c r="B300" s="2" t="s">
        <v>66</v>
      </c>
      <c r="C300" s="1">
        <v>608</v>
      </c>
      <c r="D300" s="3">
        <v>46350</v>
      </c>
      <c r="E300" s="1">
        <v>48.75</v>
      </c>
      <c r="F300" s="1">
        <v>29640</v>
      </c>
      <c r="G300" s="2" t="s">
        <v>293</v>
      </c>
    </row>
    <row r="301" spans="1:7" x14ac:dyDescent="0.45">
      <c r="A301" s="2" t="s">
        <v>405</v>
      </c>
      <c r="B301" s="2" t="s">
        <v>242</v>
      </c>
      <c r="C301" s="1">
        <v>440</v>
      </c>
      <c r="D301" s="3">
        <v>46350</v>
      </c>
      <c r="E301" s="1">
        <v>37.31</v>
      </c>
      <c r="F301" s="1">
        <v>16416.400000000001</v>
      </c>
      <c r="G301" s="2" t="s">
        <v>293</v>
      </c>
    </row>
    <row r="302" spans="1:7" x14ac:dyDescent="0.45">
      <c r="A302" s="2" t="s">
        <v>406</v>
      </c>
      <c r="B302" s="2" t="s">
        <v>342</v>
      </c>
      <c r="C302" s="1">
        <v>75</v>
      </c>
      <c r="D302" s="3">
        <v>46350</v>
      </c>
      <c r="E302" s="1">
        <v>16.86</v>
      </c>
      <c r="F302" s="1">
        <v>1264.5</v>
      </c>
      <c r="G302" s="2" t="s">
        <v>293</v>
      </c>
    </row>
    <row r="303" spans="1:7" x14ac:dyDescent="0.45">
      <c r="A303" s="2" t="s">
        <v>407</v>
      </c>
      <c r="B303" s="2" t="s">
        <v>280</v>
      </c>
      <c r="C303" s="1">
        <v>416</v>
      </c>
      <c r="D303" s="3">
        <v>46350</v>
      </c>
      <c r="E303" s="1">
        <v>9.27</v>
      </c>
      <c r="F303" s="1">
        <v>3856.32</v>
      </c>
      <c r="G303" s="2" t="s">
        <v>293</v>
      </c>
    </row>
    <row r="304" spans="1:7" x14ac:dyDescent="0.45">
      <c r="A304" s="2" t="s">
        <v>408</v>
      </c>
      <c r="B304" s="2" t="s">
        <v>99</v>
      </c>
      <c r="C304" s="1">
        <v>100</v>
      </c>
      <c r="D304" s="3">
        <v>46351</v>
      </c>
      <c r="E304" s="1">
        <v>28.16</v>
      </c>
      <c r="F304" s="1">
        <v>2816</v>
      </c>
      <c r="G304" s="2" t="s">
        <v>293</v>
      </c>
    </row>
    <row r="305" spans="1:7" x14ac:dyDescent="0.45">
      <c r="A305" s="2" t="s">
        <v>409</v>
      </c>
      <c r="B305" s="2" t="s">
        <v>410</v>
      </c>
      <c r="C305" s="1">
        <v>270</v>
      </c>
      <c r="D305" s="3">
        <v>46351</v>
      </c>
      <c r="E305" s="1">
        <v>6.77</v>
      </c>
      <c r="F305" s="1">
        <v>1827.9</v>
      </c>
      <c r="G305" s="2" t="s">
        <v>293</v>
      </c>
    </row>
    <row r="306" spans="1:7" x14ac:dyDescent="0.45">
      <c r="A306" s="2" t="s">
        <v>411</v>
      </c>
      <c r="B306" s="2" t="s">
        <v>173</v>
      </c>
      <c r="C306" s="1">
        <v>936</v>
      </c>
      <c r="D306" s="3">
        <v>46351</v>
      </c>
      <c r="E306" s="1">
        <v>23.12</v>
      </c>
      <c r="F306" s="1">
        <v>21640.32</v>
      </c>
      <c r="G306" s="2" t="s">
        <v>293</v>
      </c>
    </row>
    <row r="307" spans="1:7" x14ac:dyDescent="0.45">
      <c r="A307" s="2" t="s">
        <v>412</v>
      </c>
      <c r="B307" s="2" t="s">
        <v>410</v>
      </c>
      <c r="C307" s="1">
        <v>667</v>
      </c>
      <c r="D307" s="3">
        <v>46351</v>
      </c>
      <c r="E307" s="1">
        <v>6.77</v>
      </c>
      <c r="F307" s="1">
        <v>4515.59</v>
      </c>
      <c r="G307" s="2" t="s">
        <v>293</v>
      </c>
    </row>
    <row r="308" spans="1:7" x14ac:dyDescent="0.45">
      <c r="A308" s="2" t="s">
        <v>413</v>
      </c>
      <c r="B308" s="2" t="s">
        <v>63</v>
      </c>
      <c r="C308" s="1">
        <v>264</v>
      </c>
      <c r="D308" s="3">
        <v>46351</v>
      </c>
      <c r="E308" s="1">
        <v>46.81</v>
      </c>
      <c r="F308" s="1">
        <v>12357.84</v>
      </c>
      <c r="G308" s="2" t="s">
        <v>293</v>
      </c>
    </row>
    <row r="309" spans="1:7" x14ac:dyDescent="0.45">
      <c r="A309" s="2" t="s">
        <v>414</v>
      </c>
      <c r="B309" s="2" t="s">
        <v>89</v>
      </c>
      <c r="C309" s="1">
        <v>262</v>
      </c>
      <c r="D309" s="3">
        <v>46351</v>
      </c>
      <c r="E309" s="1">
        <v>15.09</v>
      </c>
      <c r="F309" s="1">
        <v>3953.58</v>
      </c>
      <c r="G309" s="2" t="s">
        <v>293</v>
      </c>
    </row>
    <row r="310" spans="1:7" x14ac:dyDescent="0.45">
      <c r="A310" s="2" t="s">
        <v>415</v>
      </c>
      <c r="B310" s="2" t="s">
        <v>35</v>
      </c>
      <c r="C310" s="1">
        <v>9</v>
      </c>
      <c r="D310" s="3">
        <v>46352</v>
      </c>
      <c r="E310" s="1">
        <v>31.68</v>
      </c>
      <c r="F310" s="1">
        <v>285.12</v>
      </c>
      <c r="G310" s="2" t="s">
        <v>293</v>
      </c>
    </row>
    <row r="311" spans="1:7" x14ac:dyDescent="0.45">
      <c r="A311" s="2" t="s">
        <v>416</v>
      </c>
      <c r="B311" s="2" t="s">
        <v>137</v>
      </c>
      <c r="C311" s="1">
        <v>47</v>
      </c>
      <c r="D311" s="3">
        <v>46352</v>
      </c>
      <c r="E311" s="1">
        <v>17.03</v>
      </c>
      <c r="F311" s="1">
        <v>800.41</v>
      </c>
      <c r="G311" s="2" t="s">
        <v>293</v>
      </c>
    </row>
    <row r="312" spans="1:7" x14ac:dyDescent="0.45">
      <c r="A312" s="2" t="s">
        <v>417</v>
      </c>
      <c r="B312" s="2" t="s">
        <v>189</v>
      </c>
      <c r="C312" s="1">
        <v>16</v>
      </c>
      <c r="D312" s="3">
        <v>46353</v>
      </c>
      <c r="E312" s="1">
        <v>34.76</v>
      </c>
      <c r="F312" s="1">
        <v>556.16</v>
      </c>
      <c r="G312" s="2" t="s">
        <v>293</v>
      </c>
    </row>
    <row r="313" spans="1:7" x14ac:dyDescent="0.45">
      <c r="A313" s="2" t="s">
        <v>418</v>
      </c>
      <c r="B313" s="2" t="s">
        <v>189</v>
      </c>
      <c r="C313" s="1">
        <v>154</v>
      </c>
      <c r="D313" s="3">
        <v>46353</v>
      </c>
      <c r="E313" s="1">
        <v>34.76</v>
      </c>
      <c r="F313" s="1">
        <v>5353.04</v>
      </c>
      <c r="G313" s="2" t="s">
        <v>293</v>
      </c>
    </row>
    <row r="314" spans="1:7" x14ac:dyDescent="0.45">
      <c r="A314" s="2" t="s">
        <v>419</v>
      </c>
      <c r="B314" s="2" t="s">
        <v>252</v>
      </c>
      <c r="C314" s="1">
        <v>231</v>
      </c>
      <c r="D314" s="3">
        <v>46354</v>
      </c>
      <c r="E314" s="1">
        <v>49.21</v>
      </c>
      <c r="F314" s="1">
        <v>11367.51</v>
      </c>
      <c r="G314" s="2" t="s">
        <v>293</v>
      </c>
    </row>
    <row r="315" spans="1:7" x14ac:dyDescent="0.45">
      <c r="A315" s="2" t="s">
        <v>420</v>
      </c>
      <c r="B315" s="2" t="s">
        <v>11</v>
      </c>
      <c r="C315" s="1">
        <v>227</v>
      </c>
      <c r="D315" s="3">
        <v>46354</v>
      </c>
      <c r="E315" s="1">
        <v>24.04</v>
      </c>
      <c r="F315" s="1">
        <v>5457.08</v>
      </c>
      <c r="G315" s="2" t="s">
        <v>293</v>
      </c>
    </row>
    <row r="316" spans="1:7" x14ac:dyDescent="0.45">
      <c r="A316" s="2" t="s">
        <v>421</v>
      </c>
      <c r="B316" s="2" t="s">
        <v>121</v>
      </c>
      <c r="C316" s="1">
        <v>388</v>
      </c>
      <c r="D316" s="3">
        <v>46355</v>
      </c>
      <c r="E316" s="1">
        <v>30.88</v>
      </c>
      <c r="F316" s="1">
        <v>11981.44</v>
      </c>
      <c r="G316" s="2" t="s">
        <v>293</v>
      </c>
    </row>
    <row r="317" spans="1:7" x14ac:dyDescent="0.45">
      <c r="A317" s="2" t="s">
        <v>422</v>
      </c>
      <c r="B317" s="2" t="s">
        <v>66</v>
      </c>
      <c r="C317" s="1">
        <v>357</v>
      </c>
      <c r="D317" s="3">
        <v>46355</v>
      </c>
      <c r="E317" s="1">
        <v>48.75</v>
      </c>
      <c r="F317" s="1">
        <v>17403.75</v>
      </c>
      <c r="G317" s="2" t="s">
        <v>293</v>
      </c>
    </row>
    <row r="318" spans="1:7" x14ac:dyDescent="0.45">
      <c r="A318" s="2" t="s">
        <v>423</v>
      </c>
      <c r="B318" s="2" t="s">
        <v>143</v>
      </c>
      <c r="C318" s="1">
        <v>14</v>
      </c>
      <c r="D318" s="3">
        <v>46355</v>
      </c>
      <c r="E318" s="1">
        <v>47.57</v>
      </c>
      <c r="F318" s="1">
        <v>665.98</v>
      </c>
      <c r="G318" s="2" t="s">
        <v>293</v>
      </c>
    </row>
    <row r="319" spans="1:7" x14ac:dyDescent="0.45">
      <c r="A319" s="2" t="s">
        <v>424</v>
      </c>
      <c r="B319" s="2" t="s">
        <v>374</v>
      </c>
      <c r="C319" s="1">
        <v>165</v>
      </c>
      <c r="D319" s="3">
        <v>46355</v>
      </c>
      <c r="E319" s="1">
        <v>38.65</v>
      </c>
      <c r="F319" s="1">
        <v>6377.25</v>
      </c>
      <c r="G319" s="2" t="s">
        <v>293</v>
      </c>
    </row>
    <row r="320" spans="1:7" x14ac:dyDescent="0.45">
      <c r="A320" s="2" t="s">
        <v>425</v>
      </c>
      <c r="B320" s="2" t="s">
        <v>61</v>
      </c>
      <c r="C320" s="1">
        <v>580</v>
      </c>
      <c r="D320" s="3">
        <v>46355</v>
      </c>
      <c r="E320" s="1">
        <v>1.94</v>
      </c>
      <c r="F320" s="1">
        <v>1125.2</v>
      </c>
      <c r="G320" s="2" t="s">
        <v>293</v>
      </c>
    </row>
    <row r="321" spans="1:7" x14ac:dyDescent="0.45">
      <c r="A321" s="2" t="s">
        <v>426</v>
      </c>
      <c r="B321" s="2" t="s">
        <v>79</v>
      </c>
      <c r="C321" s="1">
        <v>308</v>
      </c>
      <c r="D321" s="3">
        <v>46355</v>
      </c>
      <c r="E321" s="1">
        <v>42.2</v>
      </c>
      <c r="F321" s="1">
        <v>12997.6</v>
      </c>
      <c r="G321" s="2" t="s">
        <v>293</v>
      </c>
    </row>
    <row r="322" spans="1:7" x14ac:dyDescent="0.45">
      <c r="A322" s="2" t="s">
        <v>427</v>
      </c>
      <c r="B322" s="2" t="s">
        <v>31</v>
      </c>
      <c r="C322" s="1">
        <v>100</v>
      </c>
      <c r="D322" s="3">
        <v>46355</v>
      </c>
      <c r="E322" s="1">
        <v>28.86</v>
      </c>
      <c r="F322" s="1">
        <v>2886</v>
      </c>
      <c r="G322" s="2" t="s">
        <v>293</v>
      </c>
    </row>
    <row r="323" spans="1:7" x14ac:dyDescent="0.45">
      <c r="A323" s="2" t="s">
        <v>428</v>
      </c>
      <c r="B323" s="2" t="s">
        <v>8</v>
      </c>
      <c r="C323" s="1">
        <v>262</v>
      </c>
      <c r="D323" s="3">
        <v>46356</v>
      </c>
      <c r="E323" s="1">
        <v>48.7</v>
      </c>
      <c r="F323" s="1">
        <v>12759.4</v>
      </c>
      <c r="G323" s="2" t="s">
        <v>293</v>
      </c>
    </row>
    <row r="324" spans="1:7" x14ac:dyDescent="0.45">
      <c r="A324" s="2" t="s">
        <v>429</v>
      </c>
      <c r="B324" s="2" t="s">
        <v>238</v>
      </c>
      <c r="C324" s="1">
        <v>470</v>
      </c>
      <c r="D324" s="3">
        <v>46356</v>
      </c>
      <c r="E324" s="1">
        <v>41.12</v>
      </c>
      <c r="F324" s="1">
        <v>19326.400000000001</v>
      </c>
      <c r="G324" s="2" t="s">
        <v>293</v>
      </c>
    </row>
    <row r="325" spans="1:7" x14ac:dyDescent="0.45">
      <c r="A325" s="2" t="s">
        <v>430</v>
      </c>
      <c r="B325" s="2" t="s">
        <v>8</v>
      </c>
      <c r="C325" s="1">
        <v>171</v>
      </c>
      <c r="D325" s="3">
        <v>46356</v>
      </c>
      <c r="E325" s="1">
        <v>48.7</v>
      </c>
      <c r="F325" s="1">
        <v>8327.7000000000007</v>
      </c>
      <c r="G325" s="2" t="s">
        <v>293</v>
      </c>
    </row>
    <row r="326" spans="1:7" x14ac:dyDescent="0.45">
      <c r="A326" s="2" t="s">
        <v>431</v>
      </c>
      <c r="B326" s="2" t="s">
        <v>39</v>
      </c>
      <c r="C326" s="1">
        <v>63</v>
      </c>
      <c r="D326" s="3">
        <v>46356</v>
      </c>
      <c r="E326" s="1">
        <v>36.47</v>
      </c>
      <c r="F326" s="1">
        <v>2297.61</v>
      </c>
      <c r="G326" s="2" t="s">
        <v>293</v>
      </c>
    </row>
    <row r="327" spans="1:7" x14ac:dyDescent="0.45">
      <c r="A327" s="2" t="s">
        <v>432</v>
      </c>
      <c r="B327" s="2" t="s">
        <v>433</v>
      </c>
      <c r="C327" s="1">
        <v>35</v>
      </c>
      <c r="D327" s="3">
        <v>46357</v>
      </c>
      <c r="E327" s="1">
        <v>41.82</v>
      </c>
      <c r="F327" s="1">
        <v>1463.7</v>
      </c>
      <c r="G327" s="2" t="s">
        <v>293</v>
      </c>
    </row>
    <row r="328" spans="1:7" x14ac:dyDescent="0.45">
      <c r="A328" s="2" t="s">
        <v>434</v>
      </c>
      <c r="B328" s="2" t="s">
        <v>162</v>
      </c>
      <c r="C328" s="1">
        <v>47</v>
      </c>
      <c r="D328" s="3">
        <v>46357</v>
      </c>
      <c r="E328" s="1">
        <v>29.25</v>
      </c>
      <c r="F328" s="1">
        <v>1374.75</v>
      </c>
      <c r="G328" s="2" t="s">
        <v>293</v>
      </c>
    </row>
    <row r="329" spans="1:7" x14ac:dyDescent="0.45">
      <c r="A329" s="2" t="s">
        <v>435</v>
      </c>
      <c r="B329" s="2" t="s">
        <v>165</v>
      </c>
      <c r="C329" s="1">
        <v>140</v>
      </c>
      <c r="D329" s="3">
        <v>46357</v>
      </c>
      <c r="E329" s="1">
        <v>9.83</v>
      </c>
      <c r="F329" s="1">
        <v>1376.2</v>
      </c>
      <c r="G329" s="2" t="s">
        <v>293</v>
      </c>
    </row>
    <row r="330" spans="1:7" x14ac:dyDescent="0.45">
      <c r="A330" s="2" t="s">
        <v>436</v>
      </c>
      <c r="B330" s="2" t="s">
        <v>219</v>
      </c>
      <c r="C330" s="1">
        <v>298</v>
      </c>
      <c r="D330" s="3">
        <v>46358</v>
      </c>
      <c r="E330" s="1">
        <v>16.739999999999998</v>
      </c>
      <c r="F330" s="1">
        <v>4988.5200000000004</v>
      </c>
      <c r="G330" s="2" t="s">
        <v>293</v>
      </c>
    </row>
    <row r="331" spans="1:7" x14ac:dyDescent="0.45">
      <c r="A331" s="2" t="s">
        <v>437</v>
      </c>
      <c r="B331" s="2" t="s">
        <v>29</v>
      </c>
      <c r="C331" s="1">
        <v>12</v>
      </c>
      <c r="D331" s="3">
        <v>46358</v>
      </c>
      <c r="E331" s="1">
        <v>36.979999999999997</v>
      </c>
      <c r="F331" s="1">
        <v>443.76</v>
      </c>
      <c r="G331" s="2" t="s">
        <v>293</v>
      </c>
    </row>
    <row r="332" spans="1:7" x14ac:dyDescent="0.45">
      <c r="A332" s="2" t="s">
        <v>438</v>
      </c>
      <c r="B332" s="2" t="s">
        <v>84</v>
      </c>
      <c r="C332" s="1">
        <v>557</v>
      </c>
      <c r="D332" s="3">
        <v>46359</v>
      </c>
      <c r="E332" s="1">
        <v>45.95</v>
      </c>
      <c r="F332" s="1">
        <v>25594.15</v>
      </c>
      <c r="G332" s="2" t="s">
        <v>293</v>
      </c>
    </row>
    <row r="333" spans="1:7" x14ac:dyDescent="0.45">
      <c r="A333" s="2" t="s">
        <v>439</v>
      </c>
      <c r="B333" s="2" t="s">
        <v>108</v>
      </c>
      <c r="C333" s="1">
        <v>633</v>
      </c>
      <c r="D333" s="3">
        <v>46359</v>
      </c>
      <c r="E333" s="1">
        <v>24.53</v>
      </c>
      <c r="F333" s="1">
        <v>15527.49</v>
      </c>
      <c r="G333" s="2" t="s">
        <v>293</v>
      </c>
    </row>
    <row r="334" spans="1:7" x14ac:dyDescent="0.45">
      <c r="A334" s="2" t="s">
        <v>440</v>
      </c>
      <c r="B334" s="2" t="s">
        <v>21</v>
      </c>
      <c r="C334" s="1">
        <v>825</v>
      </c>
      <c r="D334" s="3">
        <v>46359</v>
      </c>
      <c r="E334" s="1">
        <v>35.72</v>
      </c>
      <c r="F334" s="1">
        <v>29469</v>
      </c>
      <c r="G334" s="2" t="s">
        <v>293</v>
      </c>
    </row>
    <row r="335" spans="1:7" x14ac:dyDescent="0.45">
      <c r="A335" s="2" t="s">
        <v>441</v>
      </c>
      <c r="B335" s="2" t="s">
        <v>82</v>
      </c>
      <c r="C335" s="1">
        <v>573</v>
      </c>
      <c r="D335" s="3">
        <v>46360</v>
      </c>
      <c r="E335" s="1">
        <v>18</v>
      </c>
      <c r="F335" s="1">
        <v>10314</v>
      </c>
      <c r="G335" s="2" t="s">
        <v>293</v>
      </c>
    </row>
    <row r="336" spans="1:7" x14ac:dyDescent="0.45">
      <c r="A336" s="2" t="s">
        <v>442</v>
      </c>
      <c r="B336" s="2" t="s">
        <v>104</v>
      </c>
      <c r="C336" s="1">
        <v>35</v>
      </c>
      <c r="D336" s="3">
        <v>46361</v>
      </c>
      <c r="E336" s="1">
        <v>29.93</v>
      </c>
      <c r="F336" s="1">
        <v>1047.55</v>
      </c>
      <c r="G336" s="2" t="s">
        <v>293</v>
      </c>
    </row>
    <row r="337" spans="1:7" x14ac:dyDescent="0.45">
      <c r="A337" s="2" t="s">
        <v>443</v>
      </c>
      <c r="B337" s="2" t="s">
        <v>215</v>
      </c>
      <c r="C337" s="1">
        <v>83</v>
      </c>
      <c r="D337" s="3">
        <v>46361</v>
      </c>
      <c r="E337" s="1">
        <v>45.6</v>
      </c>
      <c r="F337" s="1">
        <v>3784.8</v>
      </c>
      <c r="G337" s="2" t="s">
        <v>293</v>
      </c>
    </row>
    <row r="338" spans="1:7" x14ac:dyDescent="0.45">
      <c r="A338" s="2" t="s">
        <v>444</v>
      </c>
      <c r="B338" s="2" t="s">
        <v>140</v>
      </c>
      <c r="C338" s="1">
        <v>100</v>
      </c>
      <c r="D338" s="3">
        <v>46361</v>
      </c>
      <c r="E338" s="1">
        <v>15.43</v>
      </c>
      <c r="F338" s="1">
        <v>1543</v>
      </c>
      <c r="G338" s="2" t="s">
        <v>293</v>
      </c>
    </row>
    <row r="339" spans="1:7" x14ac:dyDescent="0.45">
      <c r="A339" s="2" t="s">
        <v>445</v>
      </c>
      <c r="B339" s="2" t="s">
        <v>165</v>
      </c>
      <c r="C339" s="1">
        <v>136</v>
      </c>
      <c r="D339" s="3">
        <v>46362</v>
      </c>
      <c r="E339" s="1">
        <v>9.83</v>
      </c>
      <c r="F339" s="1">
        <v>1336.88</v>
      </c>
      <c r="G339" s="2" t="s">
        <v>293</v>
      </c>
    </row>
    <row r="340" spans="1:7" x14ac:dyDescent="0.45">
      <c r="A340" s="2" t="s">
        <v>446</v>
      </c>
      <c r="B340" s="2" t="s">
        <v>59</v>
      </c>
      <c r="C340" s="1">
        <v>137</v>
      </c>
      <c r="D340" s="3">
        <v>46362</v>
      </c>
      <c r="E340" s="1">
        <v>19.579999999999998</v>
      </c>
      <c r="F340" s="1">
        <v>2682.46</v>
      </c>
      <c r="G340" s="2" t="s">
        <v>293</v>
      </c>
    </row>
    <row r="341" spans="1:7" x14ac:dyDescent="0.45">
      <c r="A341" s="2" t="s">
        <v>447</v>
      </c>
      <c r="B341" s="2" t="s">
        <v>240</v>
      </c>
      <c r="C341" s="1">
        <v>136</v>
      </c>
      <c r="D341" s="3">
        <v>46362</v>
      </c>
      <c r="E341" s="1">
        <v>37.15</v>
      </c>
      <c r="F341" s="1">
        <v>5052.3999999999996</v>
      </c>
      <c r="G341" s="2" t="s">
        <v>293</v>
      </c>
    </row>
    <row r="342" spans="1:7" x14ac:dyDescent="0.45">
      <c r="A342" s="2" t="s">
        <v>448</v>
      </c>
      <c r="B342" s="2" t="s">
        <v>339</v>
      </c>
      <c r="C342" s="1">
        <v>183</v>
      </c>
      <c r="D342" s="3">
        <v>46363</v>
      </c>
      <c r="E342" s="1">
        <v>25.15</v>
      </c>
      <c r="F342" s="1">
        <v>4602.45</v>
      </c>
      <c r="G342" s="2" t="s">
        <v>293</v>
      </c>
    </row>
    <row r="343" spans="1:7" x14ac:dyDescent="0.45">
      <c r="A343" s="2" t="s">
        <v>449</v>
      </c>
      <c r="B343" s="2" t="s">
        <v>238</v>
      </c>
      <c r="C343" s="1">
        <v>16</v>
      </c>
      <c r="D343" s="3">
        <v>46363</v>
      </c>
      <c r="E343" s="1">
        <v>41.12</v>
      </c>
      <c r="F343" s="1">
        <v>657.92</v>
      </c>
      <c r="G343" s="2" t="s">
        <v>293</v>
      </c>
    </row>
    <row r="344" spans="1:7" x14ac:dyDescent="0.45">
      <c r="A344" s="2" t="s">
        <v>450</v>
      </c>
      <c r="B344" s="2" t="s">
        <v>185</v>
      </c>
      <c r="C344" s="1">
        <v>25</v>
      </c>
      <c r="D344" s="3">
        <v>46363</v>
      </c>
      <c r="E344" s="1">
        <v>34.36</v>
      </c>
      <c r="F344" s="1">
        <v>859</v>
      </c>
      <c r="G344" s="2" t="s">
        <v>293</v>
      </c>
    </row>
    <row r="345" spans="1:7" x14ac:dyDescent="0.45">
      <c r="A345" s="2" t="s">
        <v>451</v>
      </c>
      <c r="B345" s="2" t="s">
        <v>63</v>
      </c>
      <c r="C345" s="1">
        <v>141</v>
      </c>
      <c r="D345" s="3">
        <v>46363</v>
      </c>
      <c r="E345" s="1">
        <v>46.81</v>
      </c>
      <c r="F345" s="1">
        <v>6600.21</v>
      </c>
      <c r="G345" s="2" t="s">
        <v>293</v>
      </c>
    </row>
    <row r="346" spans="1:7" x14ac:dyDescent="0.45">
      <c r="A346" s="2" t="s">
        <v>452</v>
      </c>
      <c r="B346" s="2" t="s">
        <v>352</v>
      </c>
      <c r="C346" s="1">
        <v>15</v>
      </c>
      <c r="D346" s="3">
        <v>46363</v>
      </c>
      <c r="E346" s="1">
        <v>34.42</v>
      </c>
      <c r="F346" s="1">
        <v>516.29999999999995</v>
      </c>
      <c r="G346" s="2" t="s">
        <v>293</v>
      </c>
    </row>
    <row r="347" spans="1:7" x14ac:dyDescent="0.45">
      <c r="A347" s="2" t="s">
        <v>453</v>
      </c>
      <c r="B347" s="2" t="s">
        <v>192</v>
      </c>
      <c r="C347" s="1">
        <v>193</v>
      </c>
      <c r="D347" s="3">
        <v>46363</v>
      </c>
      <c r="E347" s="1">
        <v>45.46</v>
      </c>
      <c r="F347" s="1">
        <v>8773.7800000000007</v>
      </c>
      <c r="G347" s="2" t="s">
        <v>293</v>
      </c>
    </row>
    <row r="348" spans="1:7" x14ac:dyDescent="0.45">
      <c r="A348" s="2" t="s">
        <v>454</v>
      </c>
      <c r="B348" s="2" t="s">
        <v>143</v>
      </c>
      <c r="C348" s="1">
        <v>602</v>
      </c>
      <c r="D348" s="3">
        <v>46364</v>
      </c>
      <c r="E348" s="1">
        <v>47.57</v>
      </c>
      <c r="F348" s="1">
        <v>28637.14</v>
      </c>
      <c r="G348" s="2" t="s">
        <v>293</v>
      </c>
    </row>
    <row r="349" spans="1:7" x14ac:dyDescent="0.45">
      <c r="A349" s="2" t="s">
        <v>455</v>
      </c>
      <c r="B349" s="2" t="s">
        <v>118</v>
      </c>
      <c r="C349" s="1">
        <v>202</v>
      </c>
      <c r="D349" s="3">
        <v>46364</v>
      </c>
      <c r="E349" s="1">
        <v>19.72</v>
      </c>
      <c r="F349" s="1">
        <v>3983.44</v>
      </c>
      <c r="G349" s="2" t="s">
        <v>293</v>
      </c>
    </row>
    <row r="350" spans="1:7" x14ac:dyDescent="0.45">
      <c r="A350" s="2" t="s">
        <v>456</v>
      </c>
      <c r="B350" s="2" t="s">
        <v>215</v>
      </c>
      <c r="C350" s="1">
        <v>132</v>
      </c>
      <c r="D350" s="3">
        <v>46364</v>
      </c>
      <c r="E350" s="1">
        <v>45.6</v>
      </c>
      <c r="F350" s="1">
        <v>6019.2</v>
      </c>
      <c r="G350" s="2" t="s">
        <v>293</v>
      </c>
    </row>
    <row r="351" spans="1:7" x14ac:dyDescent="0.45">
      <c r="A351" s="2" t="s">
        <v>457</v>
      </c>
      <c r="B351" s="2" t="s">
        <v>176</v>
      </c>
      <c r="C351" s="1">
        <v>354</v>
      </c>
      <c r="D351" s="3">
        <v>46364</v>
      </c>
      <c r="E351" s="1">
        <v>8.5399999999999991</v>
      </c>
      <c r="F351" s="1">
        <v>3023.16</v>
      </c>
      <c r="G351" s="2" t="s">
        <v>293</v>
      </c>
    </row>
    <row r="352" spans="1:7" x14ac:dyDescent="0.45">
      <c r="A352" s="2" t="s">
        <v>458</v>
      </c>
      <c r="B352" s="2" t="s">
        <v>121</v>
      </c>
      <c r="C352" s="1">
        <v>158</v>
      </c>
      <c r="D352" s="3">
        <v>46365</v>
      </c>
      <c r="E352" s="1">
        <v>30.88</v>
      </c>
      <c r="F352" s="1">
        <v>4879.04</v>
      </c>
      <c r="G352" s="2" t="s">
        <v>293</v>
      </c>
    </row>
    <row r="353" spans="1:7" x14ac:dyDescent="0.45">
      <c r="A353" s="2" t="s">
        <v>459</v>
      </c>
      <c r="B353" s="2" t="s">
        <v>118</v>
      </c>
      <c r="C353" s="1">
        <v>274</v>
      </c>
      <c r="D353" s="3">
        <v>46366</v>
      </c>
      <c r="E353" s="1">
        <v>19.72</v>
      </c>
      <c r="F353" s="1">
        <v>5403.28</v>
      </c>
      <c r="G353" s="2" t="s">
        <v>293</v>
      </c>
    </row>
    <row r="354" spans="1:7" x14ac:dyDescent="0.45">
      <c r="A354" s="2" t="s">
        <v>460</v>
      </c>
      <c r="B354" s="2" t="s">
        <v>35</v>
      </c>
      <c r="C354" s="1">
        <v>629</v>
      </c>
      <c r="D354" s="3">
        <v>46366</v>
      </c>
      <c r="E354" s="1">
        <v>31.68</v>
      </c>
      <c r="F354" s="1">
        <v>19926.72</v>
      </c>
      <c r="G354" s="2" t="s">
        <v>293</v>
      </c>
    </row>
    <row r="355" spans="1:7" x14ac:dyDescent="0.45">
      <c r="A355" s="2" t="s">
        <v>461</v>
      </c>
      <c r="B355" s="2" t="s">
        <v>61</v>
      </c>
      <c r="C355" s="1">
        <v>239</v>
      </c>
      <c r="D355" s="3">
        <v>46366</v>
      </c>
      <c r="E355" s="1">
        <v>1.94</v>
      </c>
      <c r="F355" s="1">
        <v>463.66</v>
      </c>
      <c r="G355" s="2" t="s">
        <v>293</v>
      </c>
    </row>
    <row r="356" spans="1:7" x14ac:dyDescent="0.45">
      <c r="A356" s="2" t="s">
        <v>462</v>
      </c>
      <c r="B356" s="2" t="s">
        <v>162</v>
      </c>
      <c r="C356" s="1">
        <v>335</v>
      </c>
      <c r="D356" s="3">
        <v>46366</v>
      </c>
      <c r="E356" s="1">
        <v>29.25</v>
      </c>
      <c r="F356" s="1">
        <v>9798.75</v>
      </c>
      <c r="G356" s="2" t="s">
        <v>293</v>
      </c>
    </row>
    <row r="357" spans="1:7" x14ac:dyDescent="0.45">
      <c r="A357" s="2" t="s">
        <v>463</v>
      </c>
      <c r="B357" s="2" t="s">
        <v>47</v>
      </c>
      <c r="C357" s="1">
        <v>205</v>
      </c>
      <c r="D357" s="3">
        <v>46367</v>
      </c>
      <c r="E357" s="1">
        <v>7.51</v>
      </c>
      <c r="F357" s="1">
        <v>1539.55</v>
      </c>
      <c r="G357" s="2" t="s">
        <v>293</v>
      </c>
    </row>
    <row r="358" spans="1:7" x14ac:dyDescent="0.45">
      <c r="A358" s="2" t="s">
        <v>464</v>
      </c>
      <c r="B358" s="2" t="s">
        <v>328</v>
      </c>
      <c r="C358" s="1">
        <v>661</v>
      </c>
      <c r="D358" s="3">
        <v>46367</v>
      </c>
      <c r="E358" s="1">
        <v>19.18</v>
      </c>
      <c r="F358" s="1">
        <v>12677.98</v>
      </c>
      <c r="G358" s="2" t="s">
        <v>293</v>
      </c>
    </row>
    <row r="359" spans="1:7" x14ac:dyDescent="0.45">
      <c r="A359" s="2" t="s">
        <v>465</v>
      </c>
      <c r="B359" s="2" t="s">
        <v>25</v>
      </c>
      <c r="C359" s="1">
        <v>178</v>
      </c>
      <c r="D359" s="3">
        <v>46367</v>
      </c>
      <c r="E359" s="1">
        <v>43.52</v>
      </c>
      <c r="F359" s="1">
        <v>7746.56</v>
      </c>
      <c r="G359" s="2" t="s">
        <v>293</v>
      </c>
    </row>
    <row r="360" spans="1:7" x14ac:dyDescent="0.45">
      <c r="A360" s="2" t="s">
        <v>466</v>
      </c>
      <c r="B360" s="2" t="s">
        <v>352</v>
      </c>
      <c r="C360" s="1">
        <v>254</v>
      </c>
      <c r="D360" s="3">
        <v>46368</v>
      </c>
      <c r="E360" s="1">
        <v>34.42</v>
      </c>
      <c r="F360" s="1">
        <v>8742.68</v>
      </c>
      <c r="G360" s="2" t="s">
        <v>293</v>
      </c>
    </row>
    <row r="361" spans="1:7" x14ac:dyDescent="0.45">
      <c r="A361" s="2" t="s">
        <v>467</v>
      </c>
      <c r="B361" s="2" t="s">
        <v>171</v>
      </c>
      <c r="C361" s="1">
        <v>288</v>
      </c>
      <c r="D361" s="3">
        <v>46369</v>
      </c>
      <c r="E361" s="1">
        <v>23.36</v>
      </c>
      <c r="F361" s="1">
        <v>6727.68</v>
      </c>
      <c r="G361" s="2" t="s">
        <v>293</v>
      </c>
    </row>
    <row r="362" spans="1:7" x14ac:dyDescent="0.45">
      <c r="A362" s="2" t="s">
        <v>468</v>
      </c>
      <c r="B362" s="2" t="s">
        <v>102</v>
      </c>
      <c r="C362" s="1">
        <v>162</v>
      </c>
      <c r="D362" s="3">
        <v>46370</v>
      </c>
      <c r="E362" s="1">
        <v>44.95</v>
      </c>
      <c r="F362" s="1">
        <v>7281.9</v>
      </c>
      <c r="G362" s="2" t="s">
        <v>293</v>
      </c>
    </row>
    <row r="363" spans="1:7" x14ac:dyDescent="0.45">
      <c r="A363" s="2" t="s">
        <v>469</v>
      </c>
      <c r="B363" s="2" t="s">
        <v>35</v>
      </c>
      <c r="C363" s="1">
        <v>478</v>
      </c>
      <c r="D363" s="3">
        <v>46370</v>
      </c>
      <c r="E363" s="1">
        <v>31.68</v>
      </c>
      <c r="F363" s="1">
        <v>15143.04</v>
      </c>
      <c r="G363" s="2" t="s">
        <v>293</v>
      </c>
    </row>
    <row r="364" spans="1:7" x14ac:dyDescent="0.45">
      <c r="A364" s="2" t="s">
        <v>470</v>
      </c>
      <c r="B364" s="2" t="s">
        <v>318</v>
      </c>
      <c r="C364" s="1">
        <v>472</v>
      </c>
      <c r="D364" s="3">
        <v>46371</v>
      </c>
      <c r="E364" s="1">
        <v>49.91</v>
      </c>
      <c r="F364" s="1">
        <v>23557.52</v>
      </c>
      <c r="G364" s="2" t="s">
        <v>293</v>
      </c>
    </row>
    <row r="365" spans="1:7" x14ac:dyDescent="0.45">
      <c r="A365" s="2" t="s">
        <v>471</v>
      </c>
      <c r="B365" s="2" t="s">
        <v>63</v>
      </c>
      <c r="C365" s="1">
        <v>494</v>
      </c>
      <c r="D365" s="3">
        <v>46371</v>
      </c>
      <c r="E365" s="1">
        <v>46.81</v>
      </c>
      <c r="F365" s="1">
        <v>23124.14</v>
      </c>
      <c r="G365" s="2" t="s">
        <v>293</v>
      </c>
    </row>
    <row r="366" spans="1:7" x14ac:dyDescent="0.45">
      <c r="A366" s="2" t="s">
        <v>472</v>
      </c>
      <c r="B366" s="2" t="s">
        <v>189</v>
      </c>
      <c r="C366" s="1">
        <v>28</v>
      </c>
      <c r="D366" s="3">
        <v>46371</v>
      </c>
      <c r="E366" s="1">
        <v>34.76</v>
      </c>
      <c r="F366" s="1">
        <v>973.28</v>
      </c>
      <c r="G366" s="2" t="s">
        <v>293</v>
      </c>
    </row>
    <row r="367" spans="1:7" x14ac:dyDescent="0.45">
      <c r="A367" s="2" t="s">
        <v>473</v>
      </c>
      <c r="B367" s="2" t="s">
        <v>189</v>
      </c>
      <c r="C367" s="1">
        <v>106</v>
      </c>
      <c r="D367" s="3">
        <v>46371</v>
      </c>
      <c r="E367" s="1">
        <v>34.76</v>
      </c>
      <c r="F367" s="1">
        <v>3684.56</v>
      </c>
      <c r="G367" s="2" t="s">
        <v>293</v>
      </c>
    </row>
    <row r="368" spans="1:7" x14ac:dyDescent="0.45">
      <c r="A368" s="2" t="s">
        <v>474</v>
      </c>
      <c r="B368" s="2" t="s">
        <v>37</v>
      </c>
      <c r="C368" s="1">
        <v>70</v>
      </c>
      <c r="D368" s="3">
        <v>46371</v>
      </c>
      <c r="E368" s="1">
        <v>34.28</v>
      </c>
      <c r="F368" s="1">
        <v>2399.6</v>
      </c>
      <c r="G368" s="2" t="s">
        <v>293</v>
      </c>
    </row>
    <row r="369" spans="1:7" x14ac:dyDescent="0.45">
      <c r="A369" s="2" t="s">
        <v>475</v>
      </c>
      <c r="B369" s="2" t="s">
        <v>339</v>
      </c>
      <c r="C369" s="1">
        <v>377</v>
      </c>
      <c r="D369" s="3">
        <v>46372</v>
      </c>
      <c r="E369" s="1">
        <v>25.15</v>
      </c>
      <c r="F369" s="1">
        <v>9481.5499999999993</v>
      </c>
      <c r="G369" s="2" t="s">
        <v>293</v>
      </c>
    </row>
    <row r="370" spans="1:7" x14ac:dyDescent="0.45">
      <c r="A370" s="2" t="s">
        <v>476</v>
      </c>
      <c r="B370" s="2" t="s">
        <v>318</v>
      </c>
      <c r="C370" s="1">
        <v>262</v>
      </c>
      <c r="D370" s="3">
        <v>46372</v>
      </c>
      <c r="E370" s="1">
        <v>49.91</v>
      </c>
      <c r="F370" s="1">
        <v>13076.42</v>
      </c>
      <c r="G370" s="2" t="s">
        <v>293</v>
      </c>
    </row>
    <row r="371" spans="1:7" x14ac:dyDescent="0.45">
      <c r="A371" s="2" t="s">
        <v>477</v>
      </c>
      <c r="B371" s="2" t="s">
        <v>11</v>
      </c>
      <c r="C371" s="1">
        <v>37</v>
      </c>
      <c r="D371" s="3">
        <v>46372</v>
      </c>
      <c r="E371" s="1">
        <v>24.04</v>
      </c>
      <c r="F371" s="1">
        <v>889.48</v>
      </c>
      <c r="G371" s="2" t="s">
        <v>293</v>
      </c>
    </row>
    <row r="372" spans="1:7" x14ac:dyDescent="0.45">
      <c r="A372" s="2" t="s">
        <v>478</v>
      </c>
      <c r="B372" s="2" t="s">
        <v>357</v>
      </c>
      <c r="C372" s="1">
        <v>132</v>
      </c>
      <c r="D372" s="3">
        <v>46372</v>
      </c>
      <c r="E372" s="1">
        <v>45.88</v>
      </c>
      <c r="F372" s="1">
        <v>6056.16</v>
      </c>
      <c r="G372" s="2" t="s">
        <v>293</v>
      </c>
    </row>
    <row r="373" spans="1:7" x14ac:dyDescent="0.45">
      <c r="A373" s="2" t="s">
        <v>479</v>
      </c>
      <c r="B373" s="2" t="s">
        <v>104</v>
      </c>
      <c r="C373" s="1">
        <v>742</v>
      </c>
      <c r="D373" s="3">
        <v>46373</v>
      </c>
      <c r="E373" s="1">
        <v>29.93</v>
      </c>
      <c r="F373" s="1">
        <v>22208.06</v>
      </c>
      <c r="G373" s="2" t="s">
        <v>293</v>
      </c>
    </row>
    <row r="374" spans="1:7" x14ac:dyDescent="0.45">
      <c r="A374" s="2" t="s">
        <v>480</v>
      </c>
      <c r="B374" s="2" t="s">
        <v>11</v>
      </c>
      <c r="C374" s="1">
        <v>165</v>
      </c>
      <c r="D374" s="3">
        <v>46373</v>
      </c>
      <c r="E374" s="1">
        <v>24.04</v>
      </c>
      <c r="F374" s="1">
        <v>3966.6</v>
      </c>
      <c r="G374" s="2" t="s">
        <v>293</v>
      </c>
    </row>
    <row r="375" spans="1:7" x14ac:dyDescent="0.45">
      <c r="A375" s="2" t="s">
        <v>481</v>
      </c>
      <c r="B375" s="2" t="s">
        <v>215</v>
      </c>
      <c r="C375" s="1">
        <v>176</v>
      </c>
      <c r="D375" s="3">
        <v>46373</v>
      </c>
      <c r="E375" s="1">
        <v>45.6</v>
      </c>
      <c r="F375" s="1">
        <v>8025.6</v>
      </c>
      <c r="G375" s="2" t="s">
        <v>293</v>
      </c>
    </row>
    <row r="376" spans="1:7" x14ac:dyDescent="0.45">
      <c r="A376" s="2" t="s">
        <v>482</v>
      </c>
      <c r="B376" s="2" t="s">
        <v>143</v>
      </c>
      <c r="C376" s="1">
        <v>160</v>
      </c>
      <c r="D376" s="3">
        <v>46373</v>
      </c>
      <c r="E376" s="1">
        <v>47.57</v>
      </c>
      <c r="F376" s="1">
        <v>7611.2</v>
      </c>
      <c r="G376" s="2" t="s">
        <v>293</v>
      </c>
    </row>
    <row r="377" spans="1:7" x14ac:dyDescent="0.45">
      <c r="A377" s="2" t="s">
        <v>483</v>
      </c>
      <c r="B377" s="2" t="s">
        <v>35</v>
      </c>
      <c r="C377" s="1">
        <v>260</v>
      </c>
      <c r="D377" s="3">
        <v>46374</v>
      </c>
      <c r="E377" s="1">
        <v>31.68</v>
      </c>
      <c r="F377" s="1">
        <v>8236.7999999999993</v>
      </c>
      <c r="G377" s="2" t="s">
        <v>293</v>
      </c>
    </row>
    <row r="378" spans="1:7" x14ac:dyDescent="0.45">
      <c r="A378" s="2" t="s">
        <v>484</v>
      </c>
      <c r="B378" s="2" t="s">
        <v>176</v>
      </c>
      <c r="C378" s="1">
        <v>382</v>
      </c>
      <c r="D378" s="3">
        <v>46374</v>
      </c>
      <c r="E378" s="1">
        <v>8.5399999999999991</v>
      </c>
      <c r="F378" s="1">
        <v>3262.28</v>
      </c>
      <c r="G378" s="2" t="s">
        <v>293</v>
      </c>
    </row>
    <row r="379" spans="1:7" x14ac:dyDescent="0.45">
      <c r="A379" s="2" t="s">
        <v>485</v>
      </c>
      <c r="B379" s="2" t="s">
        <v>75</v>
      </c>
      <c r="C379" s="1">
        <v>78</v>
      </c>
      <c r="D379" s="3">
        <v>46374</v>
      </c>
      <c r="E379" s="1">
        <v>5.28</v>
      </c>
      <c r="F379" s="1">
        <v>411.84</v>
      </c>
      <c r="G379" s="2" t="s">
        <v>293</v>
      </c>
    </row>
    <row r="380" spans="1:7" x14ac:dyDescent="0.45">
      <c r="A380" s="2" t="s">
        <v>486</v>
      </c>
      <c r="B380" s="2" t="s">
        <v>61</v>
      </c>
      <c r="C380" s="1">
        <v>500</v>
      </c>
      <c r="D380" s="3">
        <v>46375</v>
      </c>
      <c r="E380" s="1">
        <v>1.94</v>
      </c>
      <c r="F380" s="1">
        <v>970</v>
      </c>
      <c r="G380" s="2" t="s">
        <v>293</v>
      </c>
    </row>
    <row r="381" spans="1:7" x14ac:dyDescent="0.45">
      <c r="A381" s="2" t="s">
        <v>487</v>
      </c>
      <c r="B381" s="2" t="s">
        <v>162</v>
      </c>
      <c r="C381" s="1">
        <v>365</v>
      </c>
      <c r="D381" s="3">
        <v>46375</v>
      </c>
      <c r="E381" s="1">
        <v>29.25</v>
      </c>
      <c r="F381" s="1">
        <v>10676.25</v>
      </c>
      <c r="G381" s="2" t="s">
        <v>293</v>
      </c>
    </row>
    <row r="382" spans="1:7" x14ac:dyDescent="0.45">
      <c r="A382" s="2" t="s">
        <v>488</v>
      </c>
      <c r="B382" s="2" t="s">
        <v>299</v>
      </c>
      <c r="C382" s="1">
        <v>211</v>
      </c>
      <c r="D382" s="3">
        <v>46375</v>
      </c>
      <c r="E382" s="1">
        <v>6.08</v>
      </c>
      <c r="F382" s="1">
        <v>1282.8800000000001</v>
      </c>
      <c r="G382" s="2" t="s">
        <v>293</v>
      </c>
    </row>
    <row r="383" spans="1:7" x14ac:dyDescent="0.45">
      <c r="A383" s="2" t="s">
        <v>489</v>
      </c>
      <c r="B383" s="2" t="s">
        <v>61</v>
      </c>
      <c r="C383" s="1">
        <v>327</v>
      </c>
      <c r="D383" s="3">
        <v>46375</v>
      </c>
      <c r="E383" s="1">
        <v>1.94</v>
      </c>
      <c r="F383" s="1">
        <v>634.38</v>
      </c>
      <c r="G383" s="2" t="s">
        <v>293</v>
      </c>
    </row>
    <row r="384" spans="1:7" x14ac:dyDescent="0.45">
      <c r="A384" s="2" t="s">
        <v>490</v>
      </c>
      <c r="B384" s="2" t="s">
        <v>108</v>
      </c>
      <c r="C384" s="1">
        <v>507</v>
      </c>
      <c r="D384" s="3">
        <v>46376</v>
      </c>
      <c r="E384" s="1">
        <v>24.53</v>
      </c>
      <c r="F384" s="1">
        <v>12436.71</v>
      </c>
      <c r="G384" s="2" t="s">
        <v>293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E69B6-1F9C-46CD-BC82-EC5956138EEF}">
  <dimension ref="A1:E774"/>
  <sheetViews>
    <sheetView zoomScale="70" workbookViewId="0">
      <selection activeCell="F8" sqref="F8"/>
    </sheetView>
  </sheetViews>
  <sheetFormatPr defaultRowHeight="14.25" x14ac:dyDescent="0.45"/>
  <cols>
    <col min="1" max="1" width="13.9296875" style="1" bestFit="1" customWidth="1"/>
    <col min="2" max="2" width="20.19921875" style="1" bestFit="1" customWidth="1"/>
    <col min="3" max="3" width="19.796875" style="1" bestFit="1" customWidth="1"/>
    <col min="4" max="4" width="13.1328125" style="1" bestFit="1" customWidth="1"/>
    <col min="5" max="5" width="15.53125" style="1" bestFit="1" customWidth="1"/>
  </cols>
  <sheetData>
    <row r="1" spans="1:5" x14ac:dyDescent="0.45">
      <c r="A1" s="1" t="s">
        <v>1</v>
      </c>
      <c r="B1" s="1" t="s">
        <v>491</v>
      </c>
      <c r="C1" s="1" t="s">
        <v>492</v>
      </c>
      <c r="D1" s="1" t="s">
        <v>2</v>
      </c>
      <c r="E1" s="1" t="s">
        <v>493</v>
      </c>
    </row>
    <row r="2" spans="1:5" x14ac:dyDescent="0.45">
      <c r="A2" s="2" t="s">
        <v>66</v>
      </c>
      <c r="B2" s="2" t="s">
        <v>494</v>
      </c>
      <c r="C2" s="1">
        <v>214</v>
      </c>
      <c r="D2" s="1">
        <v>357</v>
      </c>
      <c r="E2" s="1">
        <v>0.59943977591036413</v>
      </c>
    </row>
    <row r="3" spans="1:5" x14ac:dyDescent="0.45">
      <c r="A3" s="2" t="s">
        <v>299</v>
      </c>
      <c r="B3" s="2" t="s">
        <v>495</v>
      </c>
      <c r="C3" s="1">
        <v>213</v>
      </c>
      <c r="D3" s="1">
        <v>5</v>
      </c>
      <c r="E3" s="1">
        <v>42.6</v>
      </c>
    </row>
    <row r="4" spans="1:5" x14ac:dyDescent="0.45">
      <c r="A4" s="2" t="s">
        <v>171</v>
      </c>
      <c r="B4" s="2" t="s">
        <v>496</v>
      </c>
      <c r="C4" s="1">
        <v>198</v>
      </c>
      <c r="D4" s="1">
        <v>103</v>
      </c>
      <c r="E4" s="1">
        <v>1.9223300970873787</v>
      </c>
    </row>
    <row r="5" spans="1:5" x14ac:dyDescent="0.45">
      <c r="A5" s="2" t="s">
        <v>262</v>
      </c>
      <c r="B5" s="2" t="s">
        <v>496</v>
      </c>
      <c r="C5" s="1">
        <v>180</v>
      </c>
      <c r="D5" s="1">
        <v>307</v>
      </c>
      <c r="E5" s="1">
        <v>0.58631921824104238</v>
      </c>
    </row>
    <row r="6" spans="1:5" x14ac:dyDescent="0.45">
      <c r="A6" s="2" t="s">
        <v>176</v>
      </c>
      <c r="B6" s="2" t="s">
        <v>497</v>
      </c>
      <c r="C6" s="1">
        <v>171</v>
      </c>
      <c r="D6" s="1">
        <v>56</v>
      </c>
      <c r="E6" s="1">
        <v>3.0535714285714284</v>
      </c>
    </row>
    <row r="7" spans="1:5" x14ac:dyDescent="0.45">
      <c r="A7" s="2" t="s">
        <v>185</v>
      </c>
      <c r="B7" s="2" t="s">
        <v>498</v>
      </c>
      <c r="C7" s="1">
        <v>162</v>
      </c>
      <c r="D7" s="1">
        <v>488</v>
      </c>
      <c r="E7" s="1">
        <v>0.33196721311475408</v>
      </c>
    </row>
    <row r="8" spans="1:5" x14ac:dyDescent="0.45">
      <c r="A8" s="2" t="s">
        <v>21</v>
      </c>
      <c r="B8" s="2" t="s">
        <v>494</v>
      </c>
      <c r="C8" s="1">
        <v>156</v>
      </c>
      <c r="D8" s="1">
        <v>541</v>
      </c>
      <c r="E8" s="1">
        <v>0.28835489833641403</v>
      </c>
    </row>
    <row r="9" spans="1:5" x14ac:dyDescent="0.45">
      <c r="A9" s="2" t="s">
        <v>222</v>
      </c>
      <c r="B9" s="2" t="s">
        <v>495</v>
      </c>
      <c r="C9" s="1">
        <v>152</v>
      </c>
      <c r="D9" s="1">
        <v>2</v>
      </c>
      <c r="E9" s="1">
        <v>76</v>
      </c>
    </row>
    <row r="10" spans="1:5" x14ac:dyDescent="0.45">
      <c r="A10" s="2" t="s">
        <v>104</v>
      </c>
      <c r="B10" s="2" t="s">
        <v>497</v>
      </c>
      <c r="C10" s="1">
        <v>151</v>
      </c>
      <c r="D10" s="1">
        <v>648</v>
      </c>
      <c r="E10" s="1">
        <v>0.2330246913580247</v>
      </c>
    </row>
    <row r="11" spans="1:5" x14ac:dyDescent="0.45">
      <c r="A11" s="2" t="s">
        <v>110</v>
      </c>
      <c r="B11" s="2" t="s">
        <v>498</v>
      </c>
      <c r="C11" s="1">
        <v>151</v>
      </c>
      <c r="D11" s="1">
        <v>889</v>
      </c>
      <c r="E11" s="1">
        <v>0.16985376827896512</v>
      </c>
    </row>
    <row r="12" spans="1:5" x14ac:dyDescent="0.45">
      <c r="A12" s="2" t="s">
        <v>206</v>
      </c>
      <c r="B12" s="2" t="s">
        <v>494</v>
      </c>
      <c r="C12" s="1">
        <v>147</v>
      </c>
      <c r="D12" s="1">
        <v>232</v>
      </c>
      <c r="E12" s="1">
        <v>0.63362068965517238</v>
      </c>
    </row>
    <row r="13" spans="1:5" x14ac:dyDescent="0.45">
      <c r="A13" s="2" t="s">
        <v>59</v>
      </c>
      <c r="B13" s="2" t="s">
        <v>497</v>
      </c>
      <c r="C13" s="1">
        <v>144</v>
      </c>
      <c r="D13" s="1">
        <v>349</v>
      </c>
      <c r="E13" s="1">
        <v>0.41260744985673353</v>
      </c>
    </row>
    <row r="14" spans="1:5" x14ac:dyDescent="0.45">
      <c r="A14" s="2" t="s">
        <v>63</v>
      </c>
      <c r="B14" s="2" t="s">
        <v>494</v>
      </c>
      <c r="C14" s="1">
        <v>142</v>
      </c>
      <c r="D14" s="1">
        <v>141</v>
      </c>
      <c r="E14" s="1">
        <v>1.0070921985815604</v>
      </c>
    </row>
    <row r="15" spans="1:5" x14ac:dyDescent="0.45">
      <c r="A15" s="2" t="s">
        <v>118</v>
      </c>
      <c r="B15" s="2" t="s">
        <v>495</v>
      </c>
      <c r="C15" s="1">
        <v>138</v>
      </c>
      <c r="D15" s="1">
        <v>548</v>
      </c>
      <c r="E15" s="1">
        <v>0.2518248175182482</v>
      </c>
    </row>
    <row r="16" spans="1:5" x14ac:dyDescent="0.45">
      <c r="A16" s="2" t="s">
        <v>104</v>
      </c>
      <c r="B16" s="2" t="s">
        <v>498</v>
      </c>
      <c r="C16" s="1">
        <v>136</v>
      </c>
      <c r="D16" s="1">
        <v>3</v>
      </c>
      <c r="E16" s="1">
        <v>45.333333333333336</v>
      </c>
    </row>
    <row r="17" spans="1:5" x14ac:dyDescent="0.45">
      <c r="A17" s="2" t="s">
        <v>233</v>
      </c>
      <c r="B17" s="2" t="s">
        <v>494</v>
      </c>
      <c r="C17" s="1">
        <v>132</v>
      </c>
      <c r="D17" s="1">
        <v>519</v>
      </c>
      <c r="E17" s="1">
        <v>0.25433526011560692</v>
      </c>
    </row>
    <row r="18" spans="1:5" x14ac:dyDescent="0.45">
      <c r="A18" s="2" t="s">
        <v>116</v>
      </c>
      <c r="B18" s="2" t="s">
        <v>494</v>
      </c>
      <c r="C18" s="1">
        <v>132</v>
      </c>
      <c r="D18" s="1">
        <v>53</v>
      </c>
      <c r="E18" s="1">
        <v>2.4905660377358489</v>
      </c>
    </row>
    <row r="19" spans="1:5" x14ac:dyDescent="0.45">
      <c r="A19" s="2" t="s">
        <v>84</v>
      </c>
      <c r="B19" s="2" t="s">
        <v>497</v>
      </c>
      <c r="C19" s="1">
        <v>130</v>
      </c>
      <c r="D19" s="1">
        <v>103</v>
      </c>
      <c r="E19" s="1">
        <v>1.2621359223300972</v>
      </c>
    </row>
    <row r="20" spans="1:5" x14ac:dyDescent="0.45">
      <c r="A20" s="2" t="s">
        <v>342</v>
      </c>
      <c r="B20" s="2" t="s">
        <v>495</v>
      </c>
      <c r="C20" s="1">
        <v>130</v>
      </c>
      <c r="D20" s="1">
        <v>8</v>
      </c>
      <c r="E20" s="1">
        <v>16.25</v>
      </c>
    </row>
    <row r="21" spans="1:5" x14ac:dyDescent="0.45">
      <c r="A21" s="2" t="s">
        <v>31</v>
      </c>
      <c r="B21" s="2" t="s">
        <v>494</v>
      </c>
      <c r="C21" s="1">
        <v>129</v>
      </c>
      <c r="D21" s="1">
        <v>361</v>
      </c>
      <c r="E21" s="1">
        <v>0.35734072022160662</v>
      </c>
    </row>
    <row r="22" spans="1:5" x14ac:dyDescent="0.45">
      <c r="A22" s="2" t="s">
        <v>11</v>
      </c>
      <c r="B22" s="2" t="s">
        <v>497</v>
      </c>
      <c r="C22" s="1">
        <v>126</v>
      </c>
      <c r="D22" s="1">
        <v>608</v>
      </c>
      <c r="E22" s="1">
        <v>0.20723684210526316</v>
      </c>
    </row>
    <row r="23" spans="1:5" x14ac:dyDescent="0.45">
      <c r="A23" s="2" t="s">
        <v>113</v>
      </c>
      <c r="B23" s="2" t="s">
        <v>497</v>
      </c>
      <c r="C23" s="1">
        <v>126</v>
      </c>
      <c r="D23" s="1">
        <v>254</v>
      </c>
      <c r="E23" s="1">
        <v>0.49606299212598426</v>
      </c>
    </row>
    <row r="24" spans="1:5" x14ac:dyDescent="0.45">
      <c r="A24" s="2" t="s">
        <v>328</v>
      </c>
      <c r="B24" s="2" t="s">
        <v>495</v>
      </c>
      <c r="C24" s="1">
        <v>126</v>
      </c>
      <c r="D24" s="1">
        <v>320</v>
      </c>
      <c r="E24" s="1">
        <v>0.39374999999999999</v>
      </c>
    </row>
    <row r="25" spans="1:5" x14ac:dyDescent="0.45">
      <c r="A25" s="2" t="s">
        <v>162</v>
      </c>
      <c r="B25" s="2" t="s">
        <v>494</v>
      </c>
      <c r="C25" s="1">
        <v>125</v>
      </c>
      <c r="D25" s="1">
        <v>914</v>
      </c>
      <c r="E25" s="1">
        <v>0.13676148796498905</v>
      </c>
    </row>
    <row r="26" spans="1:5" x14ac:dyDescent="0.45">
      <c r="A26" s="2" t="s">
        <v>127</v>
      </c>
      <c r="B26" s="2" t="s">
        <v>494</v>
      </c>
      <c r="C26" s="1">
        <v>124</v>
      </c>
      <c r="D26" s="1">
        <v>100</v>
      </c>
      <c r="E26" s="1">
        <v>1.24</v>
      </c>
    </row>
    <row r="27" spans="1:5" x14ac:dyDescent="0.45">
      <c r="A27" s="2" t="s">
        <v>84</v>
      </c>
      <c r="B27" s="2" t="s">
        <v>495</v>
      </c>
      <c r="C27" s="1">
        <v>124</v>
      </c>
      <c r="D27" s="1">
        <v>153</v>
      </c>
      <c r="E27" s="1">
        <v>0.81045751633986929</v>
      </c>
    </row>
    <row r="28" spans="1:5" x14ac:dyDescent="0.45">
      <c r="A28" s="2" t="s">
        <v>33</v>
      </c>
      <c r="B28" s="2" t="s">
        <v>494</v>
      </c>
      <c r="C28" s="1">
        <v>124</v>
      </c>
      <c r="D28" s="1">
        <v>259</v>
      </c>
      <c r="E28" s="1">
        <v>0.47876447876447875</v>
      </c>
    </row>
    <row r="29" spans="1:5" x14ac:dyDescent="0.45">
      <c r="A29" s="2" t="s">
        <v>94</v>
      </c>
      <c r="B29" s="2" t="s">
        <v>495</v>
      </c>
      <c r="C29" s="1">
        <v>123</v>
      </c>
      <c r="D29" s="1">
        <v>111</v>
      </c>
      <c r="E29" s="1">
        <v>1.1081081081081081</v>
      </c>
    </row>
    <row r="30" spans="1:5" x14ac:dyDescent="0.45">
      <c r="A30" s="2" t="s">
        <v>43</v>
      </c>
      <c r="B30" s="2" t="s">
        <v>498</v>
      </c>
      <c r="C30" s="1">
        <v>121</v>
      </c>
      <c r="D30" s="1">
        <v>783</v>
      </c>
      <c r="E30" s="1">
        <v>0.15453384418901661</v>
      </c>
    </row>
    <row r="31" spans="1:5" x14ac:dyDescent="0.45">
      <c r="A31" s="2" t="s">
        <v>23</v>
      </c>
      <c r="B31" s="2" t="s">
        <v>497</v>
      </c>
      <c r="C31" s="1">
        <v>120</v>
      </c>
      <c r="D31" s="1">
        <v>469</v>
      </c>
      <c r="E31" s="1">
        <v>0.25586353944562901</v>
      </c>
    </row>
    <row r="32" spans="1:5" x14ac:dyDescent="0.45">
      <c r="A32" s="2" t="s">
        <v>35</v>
      </c>
      <c r="B32" s="2" t="s">
        <v>495</v>
      </c>
      <c r="C32" s="1">
        <v>119</v>
      </c>
      <c r="D32" s="1">
        <v>228</v>
      </c>
      <c r="E32" s="1">
        <v>0.52192982456140347</v>
      </c>
    </row>
    <row r="33" spans="1:5" x14ac:dyDescent="0.45">
      <c r="A33" s="2" t="s">
        <v>86</v>
      </c>
      <c r="B33" s="2" t="s">
        <v>498</v>
      </c>
      <c r="C33" s="1">
        <v>118</v>
      </c>
      <c r="D33" s="1">
        <v>658</v>
      </c>
      <c r="E33" s="1">
        <v>0.17933130699088146</v>
      </c>
    </row>
    <row r="34" spans="1:5" x14ac:dyDescent="0.45">
      <c r="A34" s="2" t="s">
        <v>118</v>
      </c>
      <c r="B34" s="2" t="s">
        <v>494</v>
      </c>
      <c r="C34" s="1">
        <v>118</v>
      </c>
      <c r="D34" s="1">
        <v>199</v>
      </c>
      <c r="E34" s="1">
        <v>0.59296482412060303</v>
      </c>
    </row>
    <row r="35" spans="1:5" x14ac:dyDescent="0.45">
      <c r="A35" s="2" t="s">
        <v>49</v>
      </c>
      <c r="B35" s="2" t="s">
        <v>494</v>
      </c>
      <c r="C35" s="1">
        <v>117</v>
      </c>
      <c r="D35" s="1">
        <v>767</v>
      </c>
      <c r="E35" s="1">
        <v>0.15254237288135594</v>
      </c>
    </row>
    <row r="36" spans="1:5" x14ac:dyDescent="0.45">
      <c r="A36" s="2" t="s">
        <v>79</v>
      </c>
      <c r="B36" s="2" t="s">
        <v>495</v>
      </c>
      <c r="C36" s="1">
        <v>117</v>
      </c>
      <c r="D36" s="1">
        <v>115</v>
      </c>
      <c r="E36" s="1">
        <v>1.0173913043478262</v>
      </c>
    </row>
    <row r="37" spans="1:5" x14ac:dyDescent="0.45">
      <c r="A37" s="2" t="s">
        <v>499</v>
      </c>
      <c r="B37" s="2" t="s">
        <v>496</v>
      </c>
      <c r="C37" s="1">
        <v>117</v>
      </c>
      <c r="D37" s="1">
        <v>84</v>
      </c>
      <c r="E37" s="1">
        <v>1.3928571428571428</v>
      </c>
    </row>
    <row r="38" spans="1:5" x14ac:dyDescent="0.45">
      <c r="A38" s="2" t="s">
        <v>143</v>
      </c>
      <c r="B38" s="2" t="s">
        <v>496</v>
      </c>
      <c r="C38" s="1">
        <v>116</v>
      </c>
      <c r="D38" s="1">
        <v>171</v>
      </c>
      <c r="E38" s="1">
        <v>0.67836257309941517</v>
      </c>
    </row>
    <row r="39" spans="1:5" x14ac:dyDescent="0.45">
      <c r="A39" s="2" t="s">
        <v>104</v>
      </c>
      <c r="B39" s="2" t="s">
        <v>498</v>
      </c>
      <c r="C39" s="1">
        <v>115</v>
      </c>
      <c r="D39" s="1">
        <v>35</v>
      </c>
      <c r="E39" s="1">
        <v>3.2857142857142856</v>
      </c>
    </row>
    <row r="40" spans="1:5" x14ac:dyDescent="0.45">
      <c r="A40" s="2" t="s">
        <v>318</v>
      </c>
      <c r="B40" s="2" t="s">
        <v>494</v>
      </c>
      <c r="C40" s="1">
        <v>115</v>
      </c>
      <c r="D40" s="1">
        <v>472</v>
      </c>
      <c r="E40" s="1">
        <v>0.24364406779661016</v>
      </c>
    </row>
    <row r="41" spans="1:5" x14ac:dyDescent="0.45">
      <c r="A41" s="2" t="s">
        <v>47</v>
      </c>
      <c r="B41" s="2" t="s">
        <v>498</v>
      </c>
      <c r="C41" s="1">
        <v>115</v>
      </c>
      <c r="D41" s="1">
        <v>205</v>
      </c>
      <c r="E41" s="1">
        <v>0.56097560975609762</v>
      </c>
    </row>
    <row r="42" spans="1:5" x14ac:dyDescent="0.45">
      <c r="A42" s="2" t="s">
        <v>165</v>
      </c>
      <c r="B42" s="2" t="s">
        <v>495</v>
      </c>
      <c r="C42" s="1">
        <v>115</v>
      </c>
      <c r="D42" s="1">
        <v>136</v>
      </c>
      <c r="E42" s="1">
        <v>0.84558823529411764</v>
      </c>
    </row>
    <row r="43" spans="1:5" x14ac:dyDescent="0.45">
      <c r="A43" s="2" t="s">
        <v>47</v>
      </c>
      <c r="B43" s="2" t="s">
        <v>494</v>
      </c>
      <c r="C43" s="1">
        <v>114</v>
      </c>
      <c r="D43" s="1">
        <v>209</v>
      </c>
      <c r="E43" s="1">
        <v>0.54545454545454541</v>
      </c>
    </row>
    <row r="44" spans="1:5" x14ac:dyDescent="0.45">
      <c r="A44" s="2" t="s">
        <v>47</v>
      </c>
      <c r="B44" s="2" t="s">
        <v>497</v>
      </c>
      <c r="C44" s="1">
        <v>114</v>
      </c>
      <c r="D44" s="1">
        <v>317</v>
      </c>
      <c r="E44" s="1">
        <v>0.35962145110410093</v>
      </c>
    </row>
    <row r="45" spans="1:5" x14ac:dyDescent="0.45">
      <c r="A45" s="2" t="s">
        <v>152</v>
      </c>
      <c r="B45" s="2" t="s">
        <v>498</v>
      </c>
      <c r="C45" s="1">
        <v>113</v>
      </c>
      <c r="D45" s="1">
        <v>476</v>
      </c>
      <c r="E45" s="1">
        <v>0.23739495798319327</v>
      </c>
    </row>
    <row r="46" spans="1:5" x14ac:dyDescent="0.45">
      <c r="A46" s="2" t="s">
        <v>82</v>
      </c>
      <c r="B46" s="2" t="s">
        <v>494</v>
      </c>
      <c r="C46" s="1">
        <v>113</v>
      </c>
      <c r="D46" s="1">
        <v>24</v>
      </c>
      <c r="E46" s="1">
        <v>4.708333333333333</v>
      </c>
    </row>
    <row r="47" spans="1:5" x14ac:dyDescent="0.45">
      <c r="A47" s="2" t="s">
        <v>299</v>
      </c>
      <c r="B47" s="2" t="s">
        <v>498</v>
      </c>
      <c r="C47" s="1">
        <v>112</v>
      </c>
      <c r="D47" s="1">
        <v>135</v>
      </c>
      <c r="E47" s="1">
        <v>0.82962962962962961</v>
      </c>
    </row>
    <row r="48" spans="1:5" x14ac:dyDescent="0.45">
      <c r="A48" s="2" t="s">
        <v>13</v>
      </c>
      <c r="B48" s="2" t="s">
        <v>497</v>
      </c>
      <c r="C48" s="1">
        <v>112</v>
      </c>
      <c r="D48" s="1">
        <v>198</v>
      </c>
      <c r="E48" s="1">
        <v>0.56565656565656564</v>
      </c>
    </row>
    <row r="49" spans="1:5" x14ac:dyDescent="0.45">
      <c r="A49" s="2" t="s">
        <v>35</v>
      </c>
      <c r="B49" s="2" t="s">
        <v>496</v>
      </c>
      <c r="C49" s="1">
        <v>111</v>
      </c>
      <c r="D49" s="1">
        <v>260</v>
      </c>
      <c r="E49" s="1">
        <v>0.42692307692307691</v>
      </c>
    </row>
    <row r="50" spans="1:5" x14ac:dyDescent="0.45">
      <c r="A50" s="2" t="s">
        <v>33</v>
      </c>
      <c r="B50" s="2" t="s">
        <v>497</v>
      </c>
      <c r="C50" s="1">
        <v>110</v>
      </c>
      <c r="D50" s="1">
        <v>481</v>
      </c>
      <c r="E50" s="1">
        <v>0.2286902286902287</v>
      </c>
    </row>
    <row r="51" spans="1:5" x14ac:dyDescent="0.45">
      <c r="A51" s="2" t="s">
        <v>238</v>
      </c>
      <c r="B51" s="2" t="s">
        <v>494</v>
      </c>
      <c r="C51" s="1">
        <v>109</v>
      </c>
      <c r="D51" s="1">
        <v>87</v>
      </c>
      <c r="E51" s="1">
        <v>1.2528735632183907</v>
      </c>
    </row>
    <row r="52" spans="1:5" x14ac:dyDescent="0.45">
      <c r="A52" s="2" t="s">
        <v>55</v>
      </c>
      <c r="B52" s="2" t="s">
        <v>494</v>
      </c>
      <c r="C52" s="1">
        <v>109</v>
      </c>
      <c r="D52" s="1">
        <v>91</v>
      </c>
      <c r="E52" s="1">
        <v>1.1978021978021978</v>
      </c>
    </row>
    <row r="53" spans="1:5" x14ac:dyDescent="0.45">
      <c r="A53" s="2" t="s">
        <v>123</v>
      </c>
      <c r="B53" s="2" t="s">
        <v>498</v>
      </c>
      <c r="C53" s="1">
        <v>108</v>
      </c>
      <c r="D53" s="1">
        <v>65</v>
      </c>
      <c r="E53" s="1">
        <v>1.6615384615384614</v>
      </c>
    </row>
    <row r="54" spans="1:5" x14ac:dyDescent="0.45">
      <c r="A54" s="2" t="s">
        <v>129</v>
      </c>
      <c r="B54" s="2" t="s">
        <v>496</v>
      </c>
      <c r="C54" s="1">
        <v>105</v>
      </c>
      <c r="D54" s="1">
        <v>357</v>
      </c>
      <c r="E54" s="1">
        <v>0.29411764705882354</v>
      </c>
    </row>
    <row r="55" spans="1:5" x14ac:dyDescent="0.45">
      <c r="A55" s="2" t="s">
        <v>66</v>
      </c>
      <c r="B55" s="2" t="s">
        <v>495</v>
      </c>
      <c r="C55" s="1">
        <v>104</v>
      </c>
      <c r="D55" s="1">
        <v>576</v>
      </c>
      <c r="E55" s="1">
        <v>0.18055555555555555</v>
      </c>
    </row>
    <row r="56" spans="1:5" x14ac:dyDescent="0.45">
      <c r="A56" s="2" t="s">
        <v>47</v>
      </c>
      <c r="B56" s="2" t="s">
        <v>494</v>
      </c>
      <c r="C56" s="1">
        <v>103</v>
      </c>
      <c r="D56" s="1">
        <v>331</v>
      </c>
      <c r="E56" s="1">
        <v>0.31117824773413899</v>
      </c>
    </row>
    <row r="57" spans="1:5" x14ac:dyDescent="0.45">
      <c r="A57" s="2" t="s">
        <v>77</v>
      </c>
      <c r="B57" s="2" t="s">
        <v>498</v>
      </c>
      <c r="C57" s="1">
        <v>103</v>
      </c>
      <c r="D57" s="1">
        <v>123</v>
      </c>
      <c r="E57" s="1">
        <v>0.83739837398373984</v>
      </c>
    </row>
    <row r="58" spans="1:5" x14ac:dyDescent="0.45">
      <c r="A58" s="2" t="s">
        <v>196</v>
      </c>
      <c r="B58" s="2" t="s">
        <v>497</v>
      </c>
      <c r="C58" s="1">
        <v>103</v>
      </c>
      <c r="D58" s="1">
        <v>102</v>
      </c>
      <c r="E58" s="1">
        <v>1.0098039215686274</v>
      </c>
    </row>
    <row r="59" spans="1:5" x14ac:dyDescent="0.45">
      <c r="A59" s="2" t="s">
        <v>215</v>
      </c>
      <c r="B59" s="2" t="s">
        <v>497</v>
      </c>
      <c r="C59" s="1">
        <v>102</v>
      </c>
      <c r="D59" s="1">
        <v>132</v>
      </c>
      <c r="E59" s="1">
        <v>0.77272727272727271</v>
      </c>
    </row>
    <row r="60" spans="1:5" x14ac:dyDescent="0.45">
      <c r="A60" s="2" t="s">
        <v>129</v>
      </c>
      <c r="B60" s="2" t="s">
        <v>496</v>
      </c>
      <c r="C60" s="1">
        <v>102</v>
      </c>
      <c r="D60" s="1">
        <v>128</v>
      </c>
      <c r="E60" s="1">
        <v>0.796875</v>
      </c>
    </row>
    <row r="61" spans="1:5" x14ac:dyDescent="0.45">
      <c r="A61" s="2" t="s">
        <v>196</v>
      </c>
      <c r="B61" s="2" t="s">
        <v>496</v>
      </c>
      <c r="C61" s="1">
        <v>102</v>
      </c>
      <c r="D61" s="1">
        <v>504</v>
      </c>
      <c r="E61" s="1">
        <v>0.20238095238095238</v>
      </c>
    </row>
    <row r="62" spans="1:5" x14ac:dyDescent="0.45">
      <c r="A62" s="2" t="s">
        <v>277</v>
      </c>
      <c r="B62" s="2" t="s">
        <v>495</v>
      </c>
      <c r="C62" s="1">
        <v>102</v>
      </c>
      <c r="D62" s="1">
        <v>118</v>
      </c>
      <c r="E62" s="1">
        <v>0.86440677966101698</v>
      </c>
    </row>
    <row r="63" spans="1:5" x14ac:dyDescent="0.45">
      <c r="A63" s="2" t="s">
        <v>61</v>
      </c>
      <c r="B63" s="2" t="s">
        <v>498</v>
      </c>
      <c r="C63" s="1">
        <v>102</v>
      </c>
      <c r="D63" s="1">
        <v>500</v>
      </c>
      <c r="E63" s="1">
        <v>0.20399999999999999</v>
      </c>
    </row>
    <row r="64" spans="1:5" x14ac:dyDescent="0.45">
      <c r="A64" s="2" t="s">
        <v>206</v>
      </c>
      <c r="B64" s="2" t="s">
        <v>498</v>
      </c>
      <c r="C64" s="1">
        <v>102</v>
      </c>
      <c r="D64" s="1">
        <v>125</v>
      </c>
      <c r="E64" s="1">
        <v>0.81599999999999995</v>
      </c>
    </row>
    <row r="65" spans="1:5" x14ac:dyDescent="0.45">
      <c r="A65" s="2" t="s">
        <v>8</v>
      </c>
      <c r="B65" s="2" t="s">
        <v>496</v>
      </c>
      <c r="C65" s="1">
        <v>101</v>
      </c>
      <c r="D65" s="1">
        <v>148</v>
      </c>
      <c r="E65" s="1">
        <v>0.68243243243243246</v>
      </c>
    </row>
    <row r="66" spans="1:5" x14ac:dyDescent="0.45">
      <c r="A66" s="2" t="s">
        <v>252</v>
      </c>
      <c r="B66" s="2" t="s">
        <v>496</v>
      </c>
      <c r="C66" s="1">
        <v>101</v>
      </c>
      <c r="D66" s="1">
        <v>434</v>
      </c>
      <c r="E66" s="1">
        <v>0.23271889400921658</v>
      </c>
    </row>
    <row r="67" spans="1:5" x14ac:dyDescent="0.45">
      <c r="A67" s="2" t="s">
        <v>233</v>
      </c>
      <c r="B67" s="2" t="s">
        <v>497</v>
      </c>
      <c r="C67" s="1">
        <v>101</v>
      </c>
      <c r="D67" s="1">
        <v>32</v>
      </c>
      <c r="E67" s="1">
        <v>3.15625</v>
      </c>
    </row>
    <row r="68" spans="1:5" x14ac:dyDescent="0.45">
      <c r="A68" s="2" t="s">
        <v>331</v>
      </c>
      <c r="B68" s="2" t="s">
        <v>497</v>
      </c>
      <c r="C68" s="1">
        <v>100</v>
      </c>
      <c r="D68" s="1">
        <v>222</v>
      </c>
      <c r="E68" s="1">
        <v>0.45045045045045046</v>
      </c>
    </row>
    <row r="69" spans="1:5" x14ac:dyDescent="0.45">
      <c r="A69" s="2" t="s">
        <v>79</v>
      </c>
      <c r="B69" s="2" t="s">
        <v>498</v>
      </c>
      <c r="C69" s="1">
        <v>100</v>
      </c>
      <c r="D69" s="1">
        <v>497</v>
      </c>
      <c r="E69" s="1">
        <v>0.20120724346076457</v>
      </c>
    </row>
    <row r="70" spans="1:5" x14ac:dyDescent="0.45">
      <c r="A70" s="2" t="s">
        <v>63</v>
      </c>
      <c r="B70" s="2" t="s">
        <v>496</v>
      </c>
      <c r="C70" s="1">
        <v>100</v>
      </c>
      <c r="D70" s="1">
        <v>272</v>
      </c>
      <c r="E70" s="1">
        <v>0.36764705882352944</v>
      </c>
    </row>
    <row r="71" spans="1:5" x14ac:dyDescent="0.45">
      <c r="A71" s="2" t="s">
        <v>342</v>
      </c>
      <c r="B71" s="2" t="s">
        <v>495</v>
      </c>
      <c r="C71" s="1">
        <v>100</v>
      </c>
      <c r="D71" s="1">
        <v>212</v>
      </c>
      <c r="E71" s="1">
        <v>0.47169811320754718</v>
      </c>
    </row>
    <row r="72" spans="1:5" x14ac:dyDescent="0.45">
      <c r="A72" s="2" t="s">
        <v>127</v>
      </c>
      <c r="B72" s="2" t="s">
        <v>497</v>
      </c>
      <c r="C72" s="1">
        <v>99</v>
      </c>
      <c r="D72" s="1">
        <v>570</v>
      </c>
      <c r="E72" s="1">
        <v>0.1736842105263158</v>
      </c>
    </row>
    <row r="73" spans="1:5" x14ac:dyDescent="0.45">
      <c r="A73" s="2" t="s">
        <v>171</v>
      </c>
      <c r="B73" s="2" t="s">
        <v>496</v>
      </c>
      <c r="C73" s="1">
        <v>97</v>
      </c>
      <c r="D73" s="1">
        <v>288</v>
      </c>
      <c r="E73" s="1">
        <v>0.33680555555555558</v>
      </c>
    </row>
    <row r="74" spans="1:5" x14ac:dyDescent="0.45">
      <c r="A74" s="2" t="s">
        <v>134</v>
      </c>
      <c r="B74" s="2" t="s">
        <v>498</v>
      </c>
      <c r="C74" s="1">
        <v>97</v>
      </c>
      <c r="D74" s="1">
        <v>222</v>
      </c>
      <c r="E74" s="1">
        <v>0.43693693693693691</v>
      </c>
    </row>
    <row r="75" spans="1:5" x14ac:dyDescent="0.45">
      <c r="A75" s="2" t="s">
        <v>99</v>
      </c>
      <c r="B75" s="2" t="s">
        <v>498</v>
      </c>
      <c r="C75" s="1">
        <v>96</v>
      </c>
      <c r="D75" s="1">
        <v>100</v>
      </c>
      <c r="E75" s="1">
        <v>0.96</v>
      </c>
    </row>
    <row r="76" spans="1:5" x14ac:dyDescent="0.45">
      <c r="A76" s="2" t="s">
        <v>140</v>
      </c>
      <c r="B76" s="2" t="s">
        <v>498</v>
      </c>
      <c r="C76" s="1">
        <v>96</v>
      </c>
      <c r="D76" s="1">
        <v>141</v>
      </c>
      <c r="E76" s="1">
        <v>0.68085106382978722</v>
      </c>
    </row>
    <row r="77" spans="1:5" x14ac:dyDescent="0.45">
      <c r="A77" s="2" t="s">
        <v>94</v>
      </c>
      <c r="B77" s="2" t="s">
        <v>498</v>
      </c>
      <c r="C77" s="1">
        <v>96</v>
      </c>
      <c r="D77" s="1">
        <v>190</v>
      </c>
      <c r="E77" s="1">
        <v>0.50526315789473686</v>
      </c>
    </row>
    <row r="78" spans="1:5" x14ac:dyDescent="0.45">
      <c r="A78" s="2" t="s">
        <v>11</v>
      </c>
      <c r="B78" s="2" t="s">
        <v>495</v>
      </c>
      <c r="C78" s="1">
        <v>96</v>
      </c>
      <c r="D78" s="1">
        <v>285</v>
      </c>
      <c r="E78" s="1">
        <v>0.33684210526315789</v>
      </c>
    </row>
    <row r="79" spans="1:5" x14ac:dyDescent="0.45">
      <c r="A79" s="2" t="s">
        <v>162</v>
      </c>
      <c r="B79" s="2" t="s">
        <v>498</v>
      </c>
      <c r="C79" s="1">
        <v>95</v>
      </c>
      <c r="D79" s="1">
        <v>365</v>
      </c>
      <c r="E79" s="1">
        <v>0.26027397260273971</v>
      </c>
    </row>
    <row r="80" spans="1:5" x14ac:dyDescent="0.45">
      <c r="A80" s="2" t="s">
        <v>11</v>
      </c>
      <c r="B80" s="2" t="s">
        <v>497</v>
      </c>
      <c r="C80" s="1">
        <v>95</v>
      </c>
      <c r="D80" s="1">
        <v>49</v>
      </c>
      <c r="E80" s="1">
        <v>1.9387755102040816</v>
      </c>
    </row>
    <row r="81" spans="1:5" x14ac:dyDescent="0.45">
      <c r="A81" s="2" t="s">
        <v>143</v>
      </c>
      <c r="B81" s="2" t="s">
        <v>496</v>
      </c>
      <c r="C81" s="1">
        <v>95</v>
      </c>
      <c r="D81" s="1">
        <v>602</v>
      </c>
      <c r="E81" s="1">
        <v>0.15780730897009967</v>
      </c>
    </row>
    <row r="82" spans="1:5" x14ac:dyDescent="0.45">
      <c r="A82" s="2" t="s">
        <v>35</v>
      </c>
      <c r="B82" s="2" t="s">
        <v>494</v>
      </c>
      <c r="C82" s="1">
        <v>95</v>
      </c>
      <c r="D82" s="1">
        <v>143</v>
      </c>
      <c r="E82" s="1">
        <v>0.66433566433566438</v>
      </c>
    </row>
    <row r="83" spans="1:5" x14ac:dyDescent="0.45">
      <c r="A83" s="2" t="s">
        <v>152</v>
      </c>
      <c r="B83" s="2" t="s">
        <v>497</v>
      </c>
      <c r="C83" s="1">
        <v>95</v>
      </c>
      <c r="D83" s="1">
        <v>141</v>
      </c>
      <c r="E83" s="1">
        <v>0.67375886524822692</v>
      </c>
    </row>
    <row r="84" spans="1:5" x14ac:dyDescent="0.45">
      <c r="A84" s="2" t="s">
        <v>499</v>
      </c>
      <c r="B84" s="2" t="s">
        <v>494</v>
      </c>
      <c r="C84" s="1">
        <v>94</v>
      </c>
      <c r="D84" s="1">
        <v>228</v>
      </c>
      <c r="E84" s="1">
        <v>0.41228070175438597</v>
      </c>
    </row>
    <row r="85" spans="1:5" x14ac:dyDescent="0.45">
      <c r="A85" s="2" t="s">
        <v>215</v>
      </c>
      <c r="B85" s="2" t="s">
        <v>498</v>
      </c>
      <c r="C85" s="1">
        <v>93</v>
      </c>
      <c r="D85" s="1">
        <v>141</v>
      </c>
      <c r="E85" s="1">
        <v>0.65957446808510634</v>
      </c>
    </row>
    <row r="86" spans="1:5" x14ac:dyDescent="0.45">
      <c r="A86" s="2" t="s">
        <v>53</v>
      </c>
      <c r="B86" s="2" t="s">
        <v>494</v>
      </c>
      <c r="C86" s="1">
        <v>93</v>
      </c>
      <c r="D86" s="1">
        <v>338</v>
      </c>
      <c r="E86" s="1">
        <v>0.27514792899408286</v>
      </c>
    </row>
    <row r="87" spans="1:5" x14ac:dyDescent="0.45">
      <c r="A87" s="2" t="s">
        <v>146</v>
      </c>
      <c r="B87" s="2" t="s">
        <v>495</v>
      </c>
      <c r="C87" s="1">
        <v>93</v>
      </c>
      <c r="D87" s="1">
        <v>895</v>
      </c>
      <c r="E87" s="1">
        <v>0.10391061452513967</v>
      </c>
    </row>
    <row r="88" spans="1:5" x14ac:dyDescent="0.45">
      <c r="A88" s="2" t="s">
        <v>242</v>
      </c>
      <c r="B88" s="2" t="s">
        <v>498</v>
      </c>
      <c r="C88" s="1">
        <v>93</v>
      </c>
      <c r="D88" s="1">
        <v>434</v>
      </c>
      <c r="E88" s="1">
        <v>0.21428571428571427</v>
      </c>
    </row>
    <row r="89" spans="1:5" x14ac:dyDescent="0.45">
      <c r="A89" s="2" t="s">
        <v>374</v>
      </c>
      <c r="B89" s="2" t="s">
        <v>496</v>
      </c>
      <c r="C89" s="1">
        <v>91</v>
      </c>
      <c r="D89" s="1">
        <v>140</v>
      </c>
      <c r="E89" s="1">
        <v>0.65</v>
      </c>
    </row>
    <row r="90" spans="1:5" x14ac:dyDescent="0.45">
      <c r="A90" s="2" t="s">
        <v>258</v>
      </c>
      <c r="B90" s="2" t="s">
        <v>494</v>
      </c>
      <c r="C90" s="1">
        <v>91</v>
      </c>
      <c r="D90" s="1">
        <v>299</v>
      </c>
      <c r="E90" s="1">
        <v>0.30434782608695654</v>
      </c>
    </row>
    <row r="91" spans="1:5" x14ac:dyDescent="0.45">
      <c r="A91" s="2" t="s">
        <v>113</v>
      </c>
      <c r="B91" s="2" t="s">
        <v>497</v>
      </c>
      <c r="C91" s="1">
        <v>90</v>
      </c>
      <c r="D91" s="1">
        <v>292</v>
      </c>
      <c r="E91" s="1">
        <v>0.30821917808219179</v>
      </c>
    </row>
    <row r="92" spans="1:5" x14ac:dyDescent="0.45">
      <c r="A92" s="2" t="s">
        <v>277</v>
      </c>
      <c r="B92" s="2" t="s">
        <v>497</v>
      </c>
      <c r="C92" s="1">
        <v>90</v>
      </c>
      <c r="D92" s="1">
        <v>548</v>
      </c>
      <c r="E92" s="1">
        <v>0.16423357664233576</v>
      </c>
    </row>
    <row r="93" spans="1:5" x14ac:dyDescent="0.45">
      <c r="A93" s="2" t="s">
        <v>171</v>
      </c>
      <c r="B93" s="2" t="s">
        <v>496</v>
      </c>
      <c r="C93" s="1">
        <v>90</v>
      </c>
      <c r="D93" s="1">
        <v>125</v>
      </c>
      <c r="E93" s="1">
        <v>0.72</v>
      </c>
    </row>
    <row r="94" spans="1:5" x14ac:dyDescent="0.45">
      <c r="A94" s="2" t="s">
        <v>31</v>
      </c>
      <c r="B94" s="2" t="s">
        <v>495</v>
      </c>
      <c r="C94" s="1">
        <v>89</v>
      </c>
      <c r="D94" s="1">
        <v>31</v>
      </c>
      <c r="E94" s="1">
        <v>2.870967741935484</v>
      </c>
    </row>
    <row r="95" spans="1:5" x14ac:dyDescent="0.45">
      <c r="A95" s="2" t="s">
        <v>96</v>
      </c>
      <c r="B95" s="2" t="s">
        <v>497</v>
      </c>
      <c r="C95" s="1">
        <v>89</v>
      </c>
      <c r="D95" s="1">
        <v>217</v>
      </c>
      <c r="E95" s="1">
        <v>0.41013824884792627</v>
      </c>
    </row>
    <row r="96" spans="1:5" x14ac:dyDescent="0.45">
      <c r="A96" s="2" t="s">
        <v>96</v>
      </c>
      <c r="B96" s="2" t="s">
        <v>496</v>
      </c>
      <c r="C96" s="1">
        <v>89</v>
      </c>
      <c r="D96" s="1">
        <v>269</v>
      </c>
      <c r="E96" s="1">
        <v>0.33085501858736061</v>
      </c>
    </row>
    <row r="97" spans="1:5" x14ac:dyDescent="0.45">
      <c r="A97" s="2" t="s">
        <v>339</v>
      </c>
      <c r="B97" s="2" t="s">
        <v>498</v>
      </c>
      <c r="C97" s="1">
        <v>88</v>
      </c>
      <c r="D97" s="1">
        <v>103</v>
      </c>
      <c r="E97" s="1">
        <v>0.85436893203883491</v>
      </c>
    </row>
    <row r="98" spans="1:5" x14ac:dyDescent="0.45">
      <c r="A98" s="2" t="s">
        <v>19</v>
      </c>
      <c r="B98" s="2" t="s">
        <v>495</v>
      </c>
      <c r="C98" s="1">
        <v>87</v>
      </c>
      <c r="D98" s="1">
        <v>96</v>
      </c>
      <c r="E98" s="1">
        <v>0.90625</v>
      </c>
    </row>
    <row r="99" spans="1:5" x14ac:dyDescent="0.45">
      <c r="A99" s="2" t="s">
        <v>233</v>
      </c>
      <c r="B99" s="2" t="s">
        <v>498</v>
      </c>
      <c r="C99" s="1">
        <v>87</v>
      </c>
      <c r="D99" s="1">
        <v>311</v>
      </c>
      <c r="E99" s="1">
        <v>0.27974276527331188</v>
      </c>
    </row>
    <row r="100" spans="1:5" x14ac:dyDescent="0.45">
      <c r="A100" s="2" t="s">
        <v>23</v>
      </c>
      <c r="B100" s="2" t="s">
        <v>496</v>
      </c>
      <c r="C100" s="1">
        <v>87</v>
      </c>
      <c r="D100" s="1">
        <v>364</v>
      </c>
      <c r="E100" s="1">
        <v>0.23901098901098902</v>
      </c>
    </row>
    <row r="101" spans="1:5" x14ac:dyDescent="0.45">
      <c r="A101" s="2" t="s">
        <v>233</v>
      </c>
      <c r="B101" s="2" t="s">
        <v>494</v>
      </c>
      <c r="C101" s="1">
        <v>87</v>
      </c>
      <c r="D101" s="1">
        <v>517</v>
      </c>
      <c r="E101" s="1">
        <v>0.16827852998065765</v>
      </c>
    </row>
    <row r="102" spans="1:5" x14ac:dyDescent="0.45">
      <c r="A102" s="2" t="s">
        <v>13</v>
      </c>
      <c r="B102" s="2" t="s">
        <v>498</v>
      </c>
      <c r="C102" s="1">
        <v>87</v>
      </c>
      <c r="D102" s="1">
        <v>5</v>
      </c>
      <c r="E102" s="1">
        <v>17.399999999999999</v>
      </c>
    </row>
    <row r="103" spans="1:5" x14ac:dyDescent="0.45">
      <c r="A103" s="2" t="s">
        <v>113</v>
      </c>
      <c r="B103" s="2" t="s">
        <v>498</v>
      </c>
      <c r="C103" s="1">
        <v>87</v>
      </c>
      <c r="D103" s="1">
        <v>104</v>
      </c>
      <c r="E103" s="1">
        <v>0.83653846153846156</v>
      </c>
    </row>
    <row r="104" spans="1:5" x14ac:dyDescent="0.45">
      <c r="A104" s="2" t="s">
        <v>33</v>
      </c>
      <c r="B104" s="2" t="s">
        <v>498</v>
      </c>
      <c r="C104" s="1">
        <v>86</v>
      </c>
      <c r="D104" s="1">
        <v>372</v>
      </c>
      <c r="E104" s="1">
        <v>0.23118279569892472</v>
      </c>
    </row>
    <row r="105" spans="1:5" x14ac:dyDescent="0.45">
      <c r="A105" s="2" t="s">
        <v>69</v>
      </c>
      <c r="B105" s="2" t="s">
        <v>494</v>
      </c>
      <c r="C105" s="1">
        <v>86</v>
      </c>
      <c r="D105" s="1">
        <v>379</v>
      </c>
      <c r="E105" s="1">
        <v>0.22691292875989447</v>
      </c>
    </row>
    <row r="106" spans="1:5" x14ac:dyDescent="0.45">
      <c r="A106" s="2" t="s">
        <v>25</v>
      </c>
      <c r="B106" s="2" t="s">
        <v>494</v>
      </c>
      <c r="C106" s="1">
        <v>86</v>
      </c>
      <c r="D106" s="1">
        <v>178</v>
      </c>
      <c r="E106" s="1">
        <v>0.48314606741573035</v>
      </c>
    </row>
    <row r="107" spans="1:5" x14ac:dyDescent="0.45">
      <c r="A107" s="2" t="s">
        <v>49</v>
      </c>
      <c r="B107" s="2" t="s">
        <v>498</v>
      </c>
      <c r="C107" s="1">
        <v>86</v>
      </c>
      <c r="D107" s="1">
        <v>226</v>
      </c>
      <c r="E107" s="1">
        <v>0.38053097345132741</v>
      </c>
    </row>
    <row r="108" spans="1:5" x14ac:dyDescent="0.45">
      <c r="A108" s="2" t="s">
        <v>121</v>
      </c>
      <c r="B108" s="2" t="s">
        <v>498</v>
      </c>
      <c r="C108" s="1">
        <v>86</v>
      </c>
      <c r="D108" s="1">
        <v>219</v>
      </c>
      <c r="E108" s="1">
        <v>0.39269406392694062</v>
      </c>
    </row>
    <row r="109" spans="1:5" x14ac:dyDescent="0.45">
      <c r="A109" s="2" t="s">
        <v>152</v>
      </c>
      <c r="B109" s="2" t="s">
        <v>498</v>
      </c>
      <c r="C109" s="1">
        <v>86</v>
      </c>
      <c r="D109" s="1">
        <v>579</v>
      </c>
      <c r="E109" s="1">
        <v>0.14853195164075994</v>
      </c>
    </row>
    <row r="110" spans="1:5" x14ac:dyDescent="0.45">
      <c r="A110" s="2" t="s">
        <v>352</v>
      </c>
      <c r="B110" s="2" t="s">
        <v>496</v>
      </c>
      <c r="C110" s="1">
        <v>86</v>
      </c>
      <c r="D110" s="1">
        <v>554</v>
      </c>
      <c r="E110" s="1">
        <v>0.1552346570397112</v>
      </c>
    </row>
    <row r="111" spans="1:5" x14ac:dyDescent="0.45">
      <c r="A111" s="2" t="s">
        <v>31</v>
      </c>
      <c r="B111" s="2" t="s">
        <v>495</v>
      </c>
      <c r="C111" s="1">
        <v>85</v>
      </c>
      <c r="D111" s="1">
        <v>794</v>
      </c>
      <c r="E111" s="1">
        <v>0.1070528967254408</v>
      </c>
    </row>
    <row r="112" spans="1:5" x14ac:dyDescent="0.45">
      <c r="A112" s="2" t="s">
        <v>121</v>
      </c>
      <c r="B112" s="2" t="s">
        <v>497</v>
      </c>
      <c r="C112" s="1">
        <v>85</v>
      </c>
      <c r="D112" s="1">
        <v>319</v>
      </c>
      <c r="E112" s="1">
        <v>0.2664576802507837</v>
      </c>
    </row>
    <row r="113" spans="1:5" x14ac:dyDescent="0.45">
      <c r="A113" s="2" t="s">
        <v>433</v>
      </c>
      <c r="B113" s="2" t="s">
        <v>495</v>
      </c>
      <c r="C113" s="1">
        <v>85</v>
      </c>
      <c r="D113" s="1">
        <v>411</v>
      </c>
      <c r="E113" s="1">
        <v>0.20681265206812652</v>
      </c>
    </row>
    <row r="114" spans="1:5" x14ac:dyDescent="0.45">
      <c r="A114" s="2" t="s">
        <v>331</v>
      </c>
      <c r="B114" s="2" t="s">
        <v>495</v>
      </c>
      <c r="C114" s="1">
        <v>84</v>
      </c>
      <c r="D114" s="1">
        <v>100</v>
      </c>
      <c r="E114" s="1">
        <v>0.84</v>
      </c>
    </row>
    <row r="115" spans="1:5" x14ac:dyDescent="0.45">
      <c r="A115" s="2" t="s">
        <v>262</v>
      </c>
      <c r="B115" s="2" t="s">
        <v>497</v>
      </c>
      <c r="C115" s="1">
        <v>84</v>
      </c>
      <c r="D115" s="1">
        <v>10</v>
      </c>
      <c r="E115" s="1">
        <v>8.4</v>
      </c>
    </row>
    <row r="116" spans="1:5" x14ac:dyDescent="0.45">
      <c r="A116" s="2" t="s">
        <v>156</v>
      </c>
      <c r="B116" s="2" t="s">
        <v>494</v>
      </c>
      <c r="C116" s="1">
        <v>84</v>
      </c>
      <c r="D116" s="1">
        <v>60</v>
      </c>
      <c r="E116" s="1">
        <v>1.4</v>
      </c>
    </row>
    <row r="117" spans="1:5" x14ac:dyDescent="0.45">
      <c r="A117" s="2" t="s">
        <v>96</v>
      </c>
      <c r="B117" s="2" t="s">
        <v>494</v>
      </c>
      <c r="C117" s="1">
        <v>83</v>
      </c>
      <c r="D117" s="1">
        <v>393</v>
      </c>
      <c r="E117" s="1">
        <v>0.21119592875318066</v>
      </c>
    </row>
    <row r="118" spans="1:5" x14ac:dyDescent="0.45">
      <c r="A118" s="2" t="s">
        <v>108</v>
      </c>
      <c r="B118" s="2" t="s">
        <v>494</v>
      </c>
      <c r="C118" s="1">
        <v>82</v>
      </c>
      <c r="D118" s="1">
        <v>73</v>
      </c>
      <c r="E118" s="1">
        <v>1.1232876712328768</v>
      </c>
    </row>
    <row r="119" spans="1:5" x14ac:dyDescent="0.45">
      <c r="A119" s="2" t="s">
        <v>79</v>
      </c>
      <c r="B119" s="2" t="s">
        <v>498</v>
      </c>
      <c r="C119" s="1">
        <v>82</v>
      </c>
      <c r="D119" s="1">
        <v>435</v>
      </c>
      <c r="E119" s="1">
        <v>0.18850574712643678</v>
      </c>
    </row>
    <row r="120" spans="1:5" x14ac:dyDescent="0.45">
      <c r="A120" s="2" t="s">
        <v>352</v>
      </c>
      <c r="B120" s="2" t="s">
        <v>495</v>
      </c>
      <c r="C120" s="1">
        <v>82</v>
      </c>
      <c r="D120" s="1">
        <v>40</v>
      </c>
      <c r="E120" s="1">
        <v>2.0499999999999998</v>
      </c>
    </row>
    <row r="121" spans="1:5" x14ac:dyDescent="0.45">
      <c r="A121" s="2" t="s">
        <v>104</v>
      </c>
      <c r="B121" s="2" t="s">
        <v>496</v>
      </c>
      <c r="C121" s="1">
        <v>81</v>
      </c>
      <c r="D121" s="1">
        <v>742</v>
      </c>
      <c r="E121" s="1">
        <v>0.1091644204851752</v>
      </c>
    </row>
    <row r="122" spans="1:5" x14ac:dyDescent="0.45">
      <c r="A122" s="2" t="s">
        <v>140</v>
      </c>
      <c r="B122" s="2" t="s">
        <v>496</v>
      </c>
      <c r="C122" s="1">
        <v>81</v>
      </c>
      <c r="D122" s="1">
        <v>165</v>
      </c>
      <c r="E122" s="1">
        <v>0.49090909090909091</v>
      </c>
    </row>
    <row r="123" spans="1:5" x14ac:dyDescent="0.45">
      <c r="A123" s="2" t="s">
        <v>31</v>
      </c>
      <c r="B123" s="2" t="s">
        <v>497</v>
      </c>
      <c r="C123" s="1">
        <v>81</v>
      </c>
      <c r="D123" s="1">
        <v>159</v>
      </c>
      <c r="E123" s="1">
        <v>0.50943396226415094</v>
      </c>
    </row>
    <row r="124" spans="1:5" x14ac:dyDescent="0.45">
      <c r="A124" s="2" t="s">
        <v>433</v>
      </c>
      <c r="B124" s="2" t="s">
        <v>495</v>
      </c>
      <c r="C124" s="1">
        <v>81</v>
      </c>
      <c r="D124" s="1">
        <v>35</v>
      </c>
      <c r="E124" s="1">
        <v>2.3142857142857145</v>
      </c>
    </row>
    <row r="125" spans="1:5" x14ac:dyDescent="0.45">
      <c r="A125" s="2" t="s">
        <v>96</v>
      </c>
      <c r="B125" s="2" t="s">
        <v>494</v>
      </c>
      <c r="C125" s="1">
        <v>81</v>
      </c>
      <c r="D125" s="1">
        <v>93</v>
      </c>
      <c r="E125" s="1">
        <v>0.87096774193548387</v>
      </c>
    </row>
    <row r="126" spans="1:5" x14ac:dyDescent="0.45">
      <c r="A126" s="2" t="s">
        <v>238</v>
      </c>
      <c r="B126" s="2" t="s">
        <v>498</v>
      </c>
      <c r="C126" s="1">
        <v>80</v>
      </c>
      <c r="D126" s="1">
        <v>810</v>
      </c>
      <c r="E126" s="1">
        <v>9.8765432098765427E-2</v>
      </c>
    </row>
    <row r="127" spans="1:5" x14ac:dyDescent="0.45">
      <c r="A127" s="2" t="s">
        <v>176</v>
      </c>
      <c r="B127" s="2" t="s">
        <v>494</v>
      </c>
      <c r="C127" s="1">
        <v>80</v>
      </c>
      <c r="D127" s="1">
        <v>4</v>
      </c>
      <c r="E127" s="1">
        <v>20</v>
      </c>
    </row>
    <row r="128" spans="1:5" x14ac:dyDescent="0.45">
      <c r="A128" s="2" t="s">
        <v>91</v>
      </c>
      <c r="B128" s="2" t="s">
        <v>495</v>
      </c>
      <c r="C128" s="1">
        <v>80</v>
      </c>
      <c r="D128" s="1">
        <v>234</v>
      </c>
      <c r="E128" s="1">
        <v>0.34188034188034189</v>
      </c>
    </row>
    <row r="129" spans="1:5" x14ac:dyDescent="0.45">
      <c r="A129" s="2" t="s">
        <v>43</v>
      </c>
      <c r="B129" s="2" t="s">
        <v>494</v>
      </c>
      <c r="C129" s="1">
        <v>80</v>
      </c>
      <c r="D129" s="1">
        <v>181</v>
      </c>
      <c r="E129" s="1">
        <v>0.44198895027624308</v>
      </c>
    </row>
    <row r="130" spans="1:5" x14ac:dyDescent="0.45">
      <c r="A130" s="2" t="s">
        <v>238</v>
      </c>
      <c r="B130" s="2" t="s">
        <v>497</v>
      </c>
      <c r="C130" s="1">
        <v>80</v>
      </c>
      <c r="D130" s="1">
        <v>103</v>
      </c>
      <c r="E130" s="1">
        <v>0.77669902912621358</v>
      </c>
    </row>
    <row r="131" spans="1:5" x14ac:dyDescent="0.45">
      <c r="A131" s="2" t="s">
        <v>196</v>
      </c>
      <c r="B131" s="2" t="s">
        <v>497</v>
      </c>
      <c r="C131" s="1">
        <v>79</v>
      </c>
      <c r="D131" s="1">
        <v>566</v>
      </c>
      <c r="E131" s="1">
        <v>0.13957597173144876</v>
      </c>
    </row>
    <row r="132" spans="1:5" x14ac:dyDescent="0.45">
      <c r="A132" s="2" t="s">
        <v>215</v>
      </c>
      <c r="B132" s="2" t="s">
        <v>495</v>
      </c>
      <c r="C132" s="1">
        <v>79</v>
      </c>
      <c r="D132" s="1">
        <v>334</v>
      </c>
      <c r="E132" s="1">
        <v>0.23652694610778444</v>
      </c>
    </row>
    <row r="133" spans="1:5" x14ac:dyDescent="0.45">
      <c r="A133" s="2" t="s">
        <v>89</v>
      </c>
      <c r="B133" s="2" t="s">
        <v>496</v>
      </c>
      <c r="C133" s="1">
        <v>79</v>
      </c>
      <c r="D133" s="1">
        <v>143</v>
      </c>
      <c r="E133" s="1">
        <v>0.55244755244755239</v>
      </c>
    </row>
    <row r="134" spans="1:5" x14ac:dyDescent="0.45">
      <c r="A134" s="2" t="s">
        <v>55</v>
      </c>
      <c r="B134" s="2" t="s">
        <v>498</v>
      </c>
      <c r="C134" s="1">
        <v>79</v>
      </c>
      <c r="D134" s="1">
        <v>2</v>
      </c>
      <c r="E134" s="1">
        <v>39.5</v>
      </c>
    </row>
    <row r="135" spans="1:5" x14ac:dyDescent="0.45">
      <c r="A135" s="2" t="s">
        <v>61</v>
      </c>
      <c r="B135" s="2" t="s">
        <v>496</v>
      </c>
      <c r="C135" s="1">
        <v>78</v>
      </c>
      <c r="D135" s="1">
        <v>239</v>
      </c>
      <c r="E135" s="1">
        <v>0.32635983263598328</v>
      </c>
    </row>
    <row r="136" spans="1:5" x14ac:dyDescent="0.45">
      <c r="A136" s="2" t="s">
        <v>41</v>
      </c>
      <c r="B136" s="2" t="s">
        <v>497</v>
      </c>
      <c r="C136" s="1">
        <v>78</v>
      </c>
      <c r="D136" s="1">
        <v>578</v>
      </c>
      <c r="E136" s="1">
        <v>0.13494809688581313</v>
      </c>
    </row>
    <row r="137" spans="1:5" x14ac:dyDescent="0.45">
      <c r="A137" s="2" t="s">
        <v>318</v>
      </c>
      <c r="B137" s="2" t="s">
        <v>495</v>
      </c>
      <c r="C137" s="1">
        <v>78</v>
      </c>
      <c r="D137" s="1">
        <v>75</v>
      </c>
      <c r="E137" s="1">
        <v>1.04</v>
      </c>
    </row>
    <row r="138" spans="1:5" x14ac:dyDescent="0.45">
      <c r="A138" s="2" t="s">
        <v>55</v>
      </c>
      <c r="B138" s="2" t="s">
        <v>496</v>
      </c>
      <c r="C138" s="1">
        <v>77</v>
      </c>
      <c r="D138" s="1">
        <v>514</v>
      </c>
      <c r="E138" s="1">
        <v>0.14980544747081712</v>
      </c>
    </row>
    <row r="139" spans="1:5" x14ac:dyDescent="0.45">
      <c r="A139" s="2" t="s">
        <v>43</v>
      </c>
      <c r="B139" s="2" t="s">
        <v>496</v>
      </c>
      <c r="C139" s="1">
        <v>77</v>
      </c>
      <c r="D139" s="1">
        <v>38</v>
      </c>
      <c r="E139" s="1">
        <v>2.0263157894736841</v>
      </c>
    </row>
    <row r="140" spans="1:5" x14ac:dyDescent="0.45">
      <c r="A140" s="2" t="s">
        <v>13</v>
      </c>
      <c r="B140" s="2" t="s">
        <v>498</v>
      </c>
      <c r="C140" s="1">
        <v>77</v>
      </c>
      <c r="D140" s="1">
        <v>508</v>
      </c>
      <c r="E140" s="1">
        <v>0.15157480314960631</v>
      </c>
    </row>
    <row r="141" spans="1:5" x14ac:dyDescent="0.45">
      <c r="A141" s="2" t="s">
        <v>206</v>
      </c>
      <c r="B141" s="2" t="s">
        <v>496</v>
      </c>
      <c r="C141" s="1">
        <v>77</v>
      </c>
      <c r="D141" s="1">
        <v>274</v>
      </c>
      <c r="E141" s="1">
        <v>0.28102189781021897</v>
      </c>
    </row>
    <row r="142" spans="1:5" x14ac:dyDescent="0.45">
      <c r="A142" s="2" t="s">
        <v>209</v>
      </c>
      <c r="B142" s="2" t="s">
        <v>495</v>
      </c>
      <c r="C142" s="1">
        <v>77</v>
      </c>
      <c r="D142" s="1">
        <v>75</v>
      </c>
      <c r="E142" s="1">
        <v>1.0266666666666666</v>
      </c>
    </row>
    <row r="143" spans="1:5" x14ac:dyDescent="0.45">
      <c r="A143" s="2" t="s">
        <v>176</v>
      </c>
      <c r="B143" s="2" t="s">
        <v>496</v>
      </c>
      <c r="C143" s="1">
        <v>76</v>
      </c>
      <c r="D143" s="1">
        <v>8</v>
      </c>
      <c r="E143" s="1">
        <v>9.5</v>
      </c>
    </row>
    <row r="144" spans="1:5" x14ac:dyDescent="0.45">
      <c r="A144" s="2" t="s">
        <v>289</v>
      </c>
      <c r="B144" s="2" t="s">
        <v>498</v>
      </c>
      <c r="C144" s="1">
        <v>76</v>
      </c>
      <c r="D144" s="1">
        <v>207</v>
      </c>
      <c r="E144" s="1">
        <v>0.3671497584541063</v>
      </c>
    </row>
    <row r="145" spans="1:5" x14ac:dyDescent="0.45">
      <c r="A145" s="2" t="s">
        <v>137</v>
      </c>
      <c r="B145" s="2" t="s">
        <v>494</v>
      </c>
      <c r="C145" s="1">
        <v>75</v>
      </c>
      <c r="D145" s="1">
        <v>94</v>
      </c>
      <c r="E145" s="1">
        <v>0.7978723404255319</v>
      </c>
    </row>
    <row r="146" spans="1:5" x14ac:dyDescent="0.45">
      <c r="A146" s="2" t="s">
        <v>29</v>
      </c>
      <c r="B146" s="2" t="s">
        <v>494</v>
      </c>
      <c r="C146" s="1">
        <v>75</v>
      </c>
      <c r="D146" s="1">
        <v>7</v>
      </c>
      <c r="E146" s="1">
        <v>10.714285714285714</v>
      </c>
    </row>
    <row r="147" spans="1:5" x14ac:dyDescent="0.45">
      <c r="A147" s="2" t="s">
        <v>99</v>
      </c>
      <c r="B147" s="2" t="s">
        <v>495</v>
      </c>
      <c r="C147" s="1">
        <v>75</v>
      </c>
      <c r="D147" s="1">
        <v>387</v>
      </c>
      <c r="E147" s="1">
        <v>0.19379844961240311</v>
      </c>
    </row>
    <row r="148" spans="1:5" x14ac:dyDescent="0.45">
      <c r="A148" s="2" t="s">
        <v>99</v>
      </c>
      <c r="B148" s="2" t="s">
        <v>496</v>
      </c>
      <c r="C148" s="1">
        <v>75</v>
      </c>
      <c r="D148" s="1">
        <v>252</v>
      </c>
      <c r="E148" s="1">
        <v>0.29761904761904762</v>
      </c>
    </row>
    <row r="149" spans="1:5" x14ac:dyDescent="0.45">
      <c r="A149" s="2" t="s">
        <v>43</v>
      </c>
      <c r="B149" s="2" t="s">
        <v>496</v>
      </c>
      <c r="C149" s="1">
        <v>75</v>
      </c>
      <c r="D149" s="1">
        <v>150</v>
      </c>
      <c r="E149" s="1">
        <v>0.5</v>
      </c>
    </row>
    <row r="150" spans="1:5" x14ac:dyDescent="0.45">
      <c r="A150" s="2" t="s">
        <v>94</v>
      </c>
      <c r="B150" s="2" t="s">
        <v>497</v>
      </c>
      <c r="C150" s="1">
        <v>75</v>
      </c>
      <c r="D150" s="1">
        <v>186</v>
      </c>
      <c r="E150" s="1">
        <v>0.40322580645161288</v>
      </c>
    </row>
    <row r="151" spans="1:5" x14ac:dyDescent="0.45">
      <c r="A151" s="2" t="s">
        <v>189</v>
      </c>
      <c r="B151" s="2" t="s">
        <v>494</v>
      </c>
      <c r="C151" s="1">
        <v>75</v>
      </c>
      <c r="D151" s="1">
        <v>101</v>
      </c>
      <c r="E151" s="1">
        <v>0.74257425742574257</v>
      </c>
    </row>
    <row r="152" spans="1:5" x14ac:dyDescent="0.45">
      <c r="A152" s="2" t="s">
        <v>233</v>
      </c>
      <c r="B152" s="2" t="s">
        <v>497</v>
      </c>
      <c r="C152" s="1">
        <v>74</v>
      </c>
      <c r="D152" s="1">
        <v>15</v>
      </c>
      <c r="E152" s="1">
        <v>4.9333333333333336</v>
      </c>
    </row>
    <row r="153" spans="1:5" x14ac:dyDescent="0.45">
      <c r="A153" s="2" t="s">
        <v>110</v>
      </c>
      <c r="B153" s="2" t="s">
        <v>498</v>
      </c>
      <c r="C153" s="1">
        <v>74</v>
      </c>
      <c r="D153" s="1">
        <v>297</v>
      </c>
      <c r="E153" s="1">
        <v>0.24915824915824916</v>
      </c>
    </row>
    <row r="154" spans="1:5" x14ac:dyDescent="0.45">
      <c r="A154" s="2" t="s">
        <v>104</v>
      </c>
      <c r="B154" s="2" t="s">
        <v>497</v>
      </c>
      <c r="C154" s="1">
        <v>74</v>
      </c>
      <c r="D154" s="1">
        <v>54</v>
      </c>
      <c r="E154" s="1">
        <v>1.3703703703703705</v>
      </c>
    </row>
    <row r="155" spans="1:5" x14ac:dyDescent="0.45">
      <c r="A155" s="2" t="s">
        <v>252</v>
      </c>
      <c r="B155" s="2" t="s">
        <v>494</v>
      </c>
      <c r="C155" s="1">
        <v>74</v>
      </c>
      <c r="D155" s="1">
        <v>231</v>
      </c>
      <c r="E155" s="1">
        <v>0.32034632034632032</v>
      </c>
    </row>
    <row r="156" spans="1:5" x14ac:dyDescent="0.45">
      <c r="A156" s="2" t="s">
        <v>146</v>
      </c>
      <c r="B156" s="2" t="s">
        <v>494</v>
      </c>
      <c r="C156" s="1">
        <v>74</v>
      </c>
      <c r="D156" s="1">
        <v>88</v>
      </c>
      <c r="E156" s="1">
        <v>0.84090909090909094</v>
      </c>
    </row>
    <row r="157" spans="1:5" x14ac:dyDescent="0.45">
      <c r="A157" s="2" t="s">
        <v>13</v>
      </c>
      <c r="B157" s="2" t="s">
        <v>495</v>
      </c>
      <c r="C157" s="1">
        <v>73</v>
      </c>
      <c r="D157" s="1">
        <v>339</v>
      </c>
      <c r="E157" s="1">
        <v>0.21533923303834809</v>
      </c>
    </row>
    <row r="158" spans="1:5" x14ac:dyDescent="0.45">
      <c r="A158" s="2" t="s">
        <v>129</v>
      </c>
      <c r="B158" s="2" t="s">
        <v>497</v>
      </c>
      <c r="C158" s="1">
        <v>73</v>
      </c>
      <c r="D158" s="1">
        <v>599</v>
      </c>
      <c r="E158" s="1">
        <v>0.12186978297161936</v>
      </c>
    </row>
    <row r="159" spans="1:5" x14ac:dyDescent="0.45">
      <c r="A159" s="2" t="s">
        <v>162</v>
      </c>
      <c r="B159" s="2" t="s">
        <v>498</v>
      </c>
      <c r="C159" s="1">
        <v>73</v>
      </c>
      <c r="D159" s="1">
        <v>425</v>
      </c>
      <c r="E159" s="1">
        <v>0.17176470588235293</v>
      </c>
    </row>
    <row r="160" spans="1:5" x14ac:dyDescent="0.45">
      <c r="A160" s="2" t="s">
        <v>108</v>
      </c>
      <c r="B160" s="2" t="s">
        <v>497</v>
      </c>
      <c r="C160" s="1">
        <v>73</v>
      </c>
      <c r="D160" s="1">
        <v>297</v>
      </c>
      <c r="E160" s="1">
        <v>0.24579124579124578</v>
      </c>
    </row>
    <row r="161" spans="1:5" x14ac:dyDescent="0.45">
      <c r="A161" s="2" t="s">
        <v>8</v>
      </c>
      <c r="B161" s="2" t="s">
        <v>497</v>
      </c>
      <c r="C161" s="1">
        <v>73</v>
      </c>
      <c r="D161" s="1">
        <v>122</v>
      </c>
      <c r="E161" s="1">
        <v>0.59836065573770492</v>
      </c>
    </row>
    <row r="162" spans="1:5" x14ac:dyDescent="0.45">
      <c r="A162" s="2" t="s">
        <v>342</v>
      </c>
      <c r="B162" s="2" t="s">
        <v>495</v>
      </c>
      <c r="C162" s="1">
        <v>72</v>
      </c>
      <c r="D162" s="1">
        <v>608</v>
      </c>
      <c r="E162" s="1">
        <v>0.11842105263157894</v>
      </c>
    </row>
    <row r="163" spans="1:5" x14ac:dyDescent="0.45">
      <c r="A163" s="2" t="s">
        <v>91</v>
      </c>
      <c r="B163" s="2" t="s">
        <v>495</v>
      </c>
      <c r="C163" s="1">
        <v>72</v>
      </c>
      <c r="D163" s="1">
        <v>190</v>
      </c>
      <c r="E163" s="1">
        <v>0.37894736842105264</v>
      </c>
    </row>
    <row r="164" spans="1:5" x14ac:dyDescent="0.45">
      <c r="A164" s="2" t="s">
        <v>79</v>
      </c>
      <c r="B164" s="2" t="s">
        <v>498</v>
      </c>
      <c r="C164" s="1">
        <v>72</v>
      </c>
      <c r="D164" s="1">
        <v>83</v>
      </c>
      <c r="E164" s="1">
        <v>0.86746987951807231</v>
      </c>
    </row>
    <row r="165" spans="1:5" x14ac:dyDescent="0.45">
      <c r="A165" s="2" t="s">
        <v>189</v>
      </c>
      <c r="B165" s="2" t="s">
        <v>495</v>
      </c>
      <c r="C165" s="1">
        <v>72</v>
      </c>
      <c r="D165" s="1">
        <v>269</v>
      </c>
      <c r="E165" s="1">
        <v>0.26765799256505574</v>
      </c>
    </row>
    <row r="166" spans="1:5" x14ac:dyDescent="0.45">
      <c r="A166" s="2" t="s">
        <v>215</v>
      </c>
      <c r="B166" s="2" t="s">
        <v>496</v>
      </c>
      <c r="C166" s="1">
        <v>72</v>
      </c>
      <c r="D166" s="1">
        <v>736</v>
      </c>
      <c r="E166" s="1">
        <v>9.7826086956521743E-2</v>
      </c>
    </row>
    <row r="167" spans="1:5" x14ac:dyDescent="0.45">
      <c r="A167" s="2" t="s">
        <v>143</v>
      </c>
      <c r="B167" s="2" t="s">
        <v>495</v>
      </c>
      <c r="C167" s="1">
        <v>72</v>
      </c>
      <c r="D167" s="1">
        <v>683</v>
      </c>
      <c r="E167" s="1">
        <v>0.10541727672035139</v>
      </c>
    </row>
    <row r="168" spans="1:5" x14ac:dyDescent="0.45">
      <c r="A168" s="2" t="s">
        <v>176</v>
      </c>
      <c r="B168" s="2" t="s">
        <v>496</v>
      </c>
      <c r="C168" s="1">
        <v>71</v>
      </c>
      <c r="D168" s="1">
        <v>116</v>
      </c>
      <c r="E168" s="1">
        <v>0.61206896551724133</v>
      </c>
    </row>
    <row r="169" spans="1:5" x14ac:dyDescent="0.45">
      <c r="A169" s="2" t="s">
        <v>318</v>
      </c>
      <c r="B169" s="2" t="s">
        <v>494</v>
      </c>
      <c r="C169" s="1">
        <v>71</v>
      </c>
      <c r="D169" s="1">
        <v>262</v>
      </c>
      <c r="E169" s="1">
        <v>0.27099236641221375</v>
      </c>
    </row>
    <row r="170" spans="1:5" x14ac:dyDescent="0.45">
      <c r="A170" s="2" t="s">
        <v>137</v>
      </c>
      <c r="B170" s="2" t="s">
        <v>494</v>
      </c>
      <c r="C170" s="1">
        <v>71</v>
      </c>
      <c r="D170" s="1">
        <v>288</v>
      </c>
      <c r="E170" s="1">
        <v>0.24652777777777779</v>
      </c>
    </row>
    <row r="171" spans="1:5" x14ac:dyDescent="0.45">
      <c r="A171" s="2" t="s">
        <v>206</v>
      </c>
      <c r="B171" s="2" t="s">
        <v>495</v>
      </c>
      <c r="C171" s="1">
        <v>71</v>
      </c>
      <c r="D171" s="1">
        <v>133</v>
      </c>
      <c r="E171" s="1">
        <v>0.53383458646616544</v>
      </c>
    </row>
    <row r="172" spans="1:5" x14ac:dyDescent="0.45">
      <c r="A172" s="2" t="s">
        <v>143</v>
      </c>
      <c r="B172" s="2" t="s">
        <v>495</v>
      </c>
      <c r="C172" s="1">
        <v>71</v>
      </c>
      <c r="D172" s="1">
        <v>281</v>
      </c>
      <c r="E172" s="1">
        <v>0.25266903914590749</v>
      </c>
    </row>
    <row r="173" spans="1:5" x14ac:dyDescent="0.45">
      <c r="A173" s="2" t="s">
        <v>196</v>
      </c>
      <c r="B173" s="2" t="s">
        <v>494</v>
      </c>
      <c r="C173" s="1">
        <v>71</v>
      </c>
      <c r="D173" s="1">
        <v>369</v>
      </c>
      <c r="E173" s="1">
        <v>0.19241192411924118</v>
      </c>
    </row>
    <row r="174" spans="1:5" x14ac:dyDescent="0.45">
      <c r="A174" s="2" t="s">
        <v>63</v>
      </c>
      <c r="B174" s="2" t="s">
        <v>495</v>
      </c>
      <c r="C174" s="1">
        <v>71</v>
      </c>
      <c r="D174" s="1">
        <v>150</v>
      </c>
      <c r="E174" s="1">
        <v>0.47333333333333333</v>
      </c>
    </row>
    <row r="175" spans="1:5" x14ac:dyDescent="0.45">
      <c r="A175" s="2" t="s">
        <v>410</v>
      </c>
      <c r="B175" s="2" t="s">
        <v>498</v>
      </c>
      <c r="C175" s="1">
        <v>71</v>
      </c>
      <c r="D175" s="1">
        <v>270</v>
      </c>
      <c r="E175" s="1">
        <v>0.26296296296296295</v>
      </c>
    </row>
    <row r="176" spans="1:5" x14ac:dyDescent="0.45">
      <c r="A176" s="2" t="s">
        <v>127</v>
      </c>
      <c r="B176" s="2" t="s">
        <v>498</v>
      </c>
      <c r="C176" s="1">
        <v>70</v>
      </c>
      <c r="D176" s="1">
        <v>432</v>
      </c>
      <c r="E176" s="1">
        <v>0.16203703703703703</v>
      </c>
    </row>
    <row r="177" spans="1:5" x14ac:dyDescent="0.45">
      <c r="A177" s="2" t="s">
        <v>73</v>
      </c>
      <c r="B177" s="2" t="s">
        <v>494</v>
      </c>
      <c r="C177" s="1">
        <v>70</v>
      </c>
      <c r="D177" s="1">
        <v>105</v>
      </c>
      <c r="E177" s="1">
        <v>0.66666666666666663</v>
      </c>
    </row>
    <row r="178" spans="1:5" x14ac:dyDescent="0.45">
      <c r="A178" s="2" t="s">
        <v>82</v>
      </c>
      <c r="B178" s="2" t="s">
        <v>498</v>
      </c>
      <c r="C178" s="1">
        <v>70</v>
      </c>
      <c r="D178" s="1">
        <v>342</v>
      </c>
      <c r="E178" s="1">
        <v>0.2046783625730994</v>
      </c>
    </row>
    <row r="179" spans="1:5" x14ac:dyDescent="0.45">
      <c r="A179" s="2" t="s">
        <v>102</v>
      </c>
      <c r="B179" s="2" t="s">
        <v>495</v>
      </c>
      <c r="C179" s="1">
        <v>69</v>
      </c>
      <c r="D179" s="1">
        <v>42</v>
      </c>
      <c r="E179" s="1">
        <v>1.6428571428571428</v>
      </c>
    </row>
    <row r="180" spans="1:5" x14ac:dyDescent="0.45">
      <c r="A180" s="2" t="s">
        <v>110</v>
      </c>
      <c r="B180" s="2" t="s">
        <v>497</v>
      </c>
      <c r="C180" s="1">
        <v>69</v>
      </c>
      <c r="D180" s="1">
        <v>567</v>
      </c>
      <c r="E180" s="1">
        <v>0.12169312169312169</v>
      </c>
    </row>
    <row r="181" spans="1:5" x14ac:dyDescent="0.45">
      <c r="A181" s="2" t="s">
        <v>96</v>
      </c>
      <c r="B181" s="2" t="s">
        <v>495</v>
      </c>
      <c r="C181" s="1">
        <v>69</v>
      </c>
      <c r="D181" s="1">
        <v>464</v>
      </c>
      <c r="E181" s="1">
        <v>0.14870689655172414</v>
      </c>
    </row>
    <row r="182" spans="1:5" x14ac:dyDescent="0.45">
      <c r="A182" s="2" t="s">
        <v>96</v>
      </c>
      <c r="B182" s="2" t="s">
        <v>494</v>
      </c>
      <c r="C182" s="1">
        <v>69</v>
      </c>
      <c r="D182" s="1">
        <v>179</v>
      </c>
      <c r="E182" s="1">
        <v>0.38547486033519551</v>
      </c>
    </row>
    <row r="183" spans="1:5" x14ac:dyDescent="0.45">
      <c r="A183" s="2" t="s">
        <v>37</v>
      </c>
      <c r="B183" s="2" t="s">
        <v>494</v>
      </c>
      <c r="C183" s="1">
        <v>68</v>
      </c>
      <c r="D183" s="1">
        <v>637</v>
      </c>
      <c r="E183" s="1">
        <v>0.10675039246467818</v>
      </c>
    </row>
    <row r="184" spans="1:5" x14ac:dyDescent="0.45">
      <c r="A184" s="2" t="s">
        <v>318</v>
      </c>
      <c r="B184" s="2" t="s">
        <v>496</v>
      </c>
      <c r="C184" s="1">
        <v>68</v>
      </c>
      <c r="D184" s="1">
        <v>223</v>
      </c>
      <c r="E184" s="1">
        <v>0.30493273542600896</v>
      </c>
    </row>
    <row r="185" spans="1:5" x14ac:dyDescent="0.45">
      <c r="A185" s="2" t="s">
        <v>196</v>
      </c>
      <c r="B185" s="2" t="s">
        <v>494</v>
      </c>
      <c r="C185" s="1">
        <v>68</v>
      </c>
      <c r="D185" s="1">
        <v>411</v>
      </c>
      <c r="E185" s="1">
        <v>0.16545012165450121</v>
      </c>
    </row>
    <row r="186" spans="1:5" x14ac:dyDescent="0.45">
      <c r="A186" s="2" t="s">
        <v>143</v>
      </c>
      <c r="B186" s="2" t="s">
        <v>495</v>
      </c>
      <c r="C186" s="1">
        <v>68</v>
      </c>
      <c r="D186" s="1">
        <v>406</v>
      </c>
      <c r="E186" s="1">
        <v>0.16748768472906403</v>
      </c>
    </row>
    <row r="187" spans="1:5" x14ac:dyDescent="0.45">
      <c r="A187" s="2" t="s">
        <v>96</v>
      </c>
      <c r="B187" s="2" t="s">
        <v>496</v>
      </c>
      <c r="C187" s="1">
        <v>68</v>
      </c>
      <c r="D187" s="1">
        <v>16</v>
      </c>
      <c r="E187" s="1">
        <v>4.25</v>
      </c>
    </row>
    <row r="188" spans="1:5" x14ac:dyDescent="0.45">
      <c r="A188" s="2" t="s">
        <v>75</v>
      </c>
      <c r="B188" s="2" t="s">
        <v>498</v>
      </c>
      <c r="C188" s="1">
        <v>67</v>
      </c>
      <c r="D188" s="1">
        <v>296</v>
      </c>
      <c r="E188" s="1">
        <v>0.22635135135135134</v>
      </c>
    </row>
    <row r="189" spans="1:5" x14ac:dyDescent="0.45">
      <c r="A189" s="2" t="s">
        <v>262</v>
      </c>
      <c r="B189" s="2" t="s">
        <v>496</v>
      </c>
      <c r="C189" s="1">
        <v>67</v>
      </c>
      <c r="D189" s="1">
        <v>293</v>
      </c>
      <c r="E189" s="1">
        <v>0.22866894197952217</v>
      </c>
    </row>
    <row r="190" spans="1:5" x14ac:dyDescent="0.45">
      <c r="A190" s="2" t="s">
        <v>108</v>
      </c>
      <c r="B190" s="2" t="s">
        <v>497</v>
      </c>
      <c r="C190" s="1">
        <v>67</v>
      </c>
      <c r="D190" s="1">
        <v>507</v>
      </c>
      <c r="E190" s="1">
        <v>0.13214990138067062</v>
      </c>
    </row>
    <row r="191" spans="1:5" x14ac:dyDescent="0.45">
      <c r="A191" s="2" t="s">
        <v>499</v>
      </c>
      <c r="B191" s="2" t="s">
        <v>494</v>
      </c>
      <c r="C191" s="1">
        <v>67</v>
      </c>
      <c r="D191" s="1">
        <v>594</v>
      </c>
      <c r="E191" s="1">
        <v>0.11279461279461279</v>
      </c>
    </row>
    <row r="192" spans="1:5" x14ac:dyDescent="0.45">
      <c r="A192" s="2" t="s">
        <v>116</v>
      </c>
      <c r="B192" s="2" t="s">
        <v>497</v>
      </c>
      <c r="C192" s="1">
        <v>67</v>
      </c>
      <c r="D192" s="1">
        <v>22</v>
      </c>
      <c r="E192" s="1">
        <v>3.0454545454545454</v>
      </c>
    </row>
    <row r="193" spans="1:5" x14ac:dyDescent="0.45">
      <c r="A193" s="2" t="s">
        <v>35</v>
      </c>
      <c r="B193" s="2" t="s">
        <v>495</v>
      </c>
      <c r="C193" s="1">
        <v>67</v>
      </c>
      <c r="D193" s="1">
        <v>453</v>
      </c>
      <c r="E193" s="1">
        <v>0.1479028697571744</v>
      </c>
    </row>
    <row r="194" spans="1:5" x14ac:dyDescent="0.45">
      <c r="A194" s="2" t="s">
        <v>246</v>
      </c>
      <c r="B194" s="2" t="s">
        <v>497</v>
      </c>
      <c r="C194" s="1">
        <v>67</v>
      </c>
      <c r="D194" s="1">
        <v>277</v>
      </c>
      <c r="E194" s="1">
        <v>0.24187725631768953</v>
      </c>
    </row>
    <row r="195" spans="1:5" x14ac:dyDescent="0.45">
      <c r="A195" s="2" t="s">
        <v>91</v>
      </c>
      <c r="B195" s="2" t="s">
        <v>495</v>
      </c>
      <c r="C195" s="1">
        <v>66</v>
      </c>
      <c r="D195" s="1">
        <v>125</v>
      </c>
      <c r="E195" s="1">
        <v>0.52800000000000002</v>
      </c>
    </row>
    <row r="196" spans="1:5" x14ac:dyDescent="0.45">
      <c r="A196" s="2" t="s">
        <v>127</v>
      </c>
      <c r="B196" s="2" t="s">
        <v>495</v>
      </c>
      <c r="C196" s="1">
        <v>66</v>
      </c>
      <c r="D196" s="1">
        <v>222</v>
      </c>
      <c r="E196" s="1">
        <v>0.29729729729729731</v>
      </c>
    </row>
    <row r="197" spans="1:5" x14ac:dyDescent="0.45">
      <c r="A197" s="2" t="s">
        <v>102</v>
      </c>
      <c r="B197" s="2" t="s">
        <v>495</v>
      </c>
      <c r="C197" s="1">
        <v>66</v>
      </c>
      <c r="D197" s="1">
        <v>162</v>
      </c>
      <c r="E197" s="1">
        <v>0.40740740740740738</v>
      </c>
    </row>
    <row r="198" spans="1:5" x14ac:dyDescent="0.45">
      <c r="A198" s="2" t="s">
        <v>121</v>
      </c>
      <c r="B198" s="2" t="s">
        <v>495</v>
      </c>
      <c r="C198" s="1">
        <v>66</v>
      </c>
      <c r="D198" s="1">
        <v>272</v>
      </c>
      <c r="E198" s="1">
        <v>0.24264705882352941</v>
      </c>
    </row>
    <row r="199" spans="1:5" x14ac:dyDescent="0.45">
      <c r="A199" s="2" t="s">
        <v>110</v>
      </c>
      <c r="B199" s="2" t="s">
        <v>498</v>
      </c>
      <c r="C199" s="1">
        <v>66</v>
      </c>
      <c r="D199" s="1">
        <v>57</v>
      </c>
      <c r="E199" s="1">
        <v>1.1578947368421053</v>
      </c>
    </row>
    <row r="200" spans="1:5" x14ac:dyDescent="0.45">
      <c r="A200" s="2" t="s">
        <v>71</v>
      </c>
      <c r="B200" s="2" t="s">
        <v>496</v>
      </c>
      <c r="C200" s="1">
        <v>66</v>
      </c>
      <c r="D200" s="1">
        <v>842</v>
      </c>
      <c r="E200" s="1">
        <v>7.8384798099762468E-2</v>
      </c>
    </row>
    <row r="201" spans="1:5" x14ac:dyDescent="0.45">
      <c r="A201" s="2" t="s">
        <v>13</v>
      </c>
      <c r="B201" s="2" t="s">
        <v>495</v>
      </c>
      <c r="C201" s="1">
        <v>66</v>
      </c>
      <c r="D201" s="1">
        <v>517</v>
      </c>
      <c r="E201" s="1">
        <v>0.1276595744680851</v>
      </c>
    </row>
    <row r="202" spans="1:5" x14ac:dyDescent="0.45">
      <c r="A202" s="2" t="s">
        <v>51</v>
      </c>
      <c r="B202" s="2" t="s">
        <v>498</v>
      </c>
      <c r="C202" s="1">
        <v>66</v>
      </c>
      <c r="D202" s="1">
        <v>267</v>
      </c>
      <c r="E202" s="1">
        <v>0.24719101123595505</v>
      </c>
    </row>
    <row r="203" spans="1:5" x14ac:dyDescent="0.45">
      <c r="A203" s="2" t="s">
        <v>160</v>
      </c>
      <c r="B203" s="2" t="s">
        <v>494</v>
      </c>
      <c r="C203" s="1">
        <v>66</v>
      </c>
      <c r="D203" s="1">
        <v>272</v>
      </c>
      <c r="E203" s="1">
        <v>0.24264705882352941</v>
      </c>
    </row>
    <row r="204" spans="1:5" x14ac:dyDescent="0.45">
      <c r="A204" s="2" t="s">
        <v>357</v>
      </c>
      <c r="B204" s="2" t="s">
        <v>494</v>
      </c>
      <c r="C204" s="1">
        <v>66</v>
      </c>
      <c r="D204" s="1">
        <v>138</v>
      </c>
      <c r="E204" s="1">
        <v>0.47826086956521741</v>
      </c>
    </row>
    <row r="205" spans="1:5" x14ac:dyDescent="0.45">
      <c r="A205" s="2" t="s">
        <v>104</v>
      </c>
      <c r="B205" s="2" t="s">
        <v>495</v>
      </c>
      <c r="C205" s="1">
        <v>65</v>
      </c>
      <c r="D205" s="1">
        <v>345</v>
      </c>
      <c r="E205" s="1">
        <v>0.18840579710144928</v>
      </c>
    </row>
    <row r="206" spans="1:5" x14ac:dyDescent="0.45">
      <c r="A206" s="2" t="s">
        <v>318</v>
      </c>
      <c r="B206" s="2" t="s">
        <v>498</v>
      </c>
      <c r="C206" s="1">
        <v>65</v>
      </c>
      <c r="D206" s="1">
        <v>14</v>
      </c>
      <c r="E206" s="1">
        <v>4.6428571428571432</v>
      </c>
    </row>
    <row r="207" spans="1:5" x14ac:dyDescent="0.45">
      <c r="A207" s="2" t="s">
        <v>240</v>
      </c>
      <c r="B207" s="2" t="s">
        <v>494</v>
      </c>
      <c r="C207" s="1">
        <v>65</v>
      </c>
      <c r="D207" s="1">
        <v>738</v>
      </c>
      <c r="E207" s="1">
        <v>8.8075880758807581E-2</v>
      </c>
    </row>
    <row r="208" spans="1:5" x14ac:dyDescent="0.45">
      <c r="A208" s="2" t="s">
        <v>240</v>
      </c>
      <c r="B208" s="2" t="s">
        <v>498</v>
      </c>
      <c r="C208" s="1">
        <v>65</v>
      </c>
      <c r="D208" s="1">
        <v>103</v>
      </c>
      <c r="E208" s="1">
        <v>0.6310679611650486</v>
      </c>
    </row>
    <row r="209" spans="1:5" x14ac:dyDescent="0.45">
      <c r="A209" s="2" t="s">
        <v>160</v>
      </c>
      <c r="B209" s="2" t="s">
        <v>494</v>
      </c>
      <c r="C209" s="1">
        <v>65</v>
      </c>
      <c r="D209" s="1">
        <v>28</v>
      </c>
      <c r="E209" s="1">
        <v>2.3214285714285716</v>
      </c>
    </row>
    <row r="210" spans="1:5" x14ac:dyDescent="0.45">
      <c r="A210" s="2" t="s">
        <v>123</v>
      </c>
      <c r="B210" s="2" t="s">
        <v>498</v>
      </c>
      <c r="C210" s="1">
        <v>65</v>
      </c>
      <c r="D210" s="1">
        <v>198</v>
      </c>
      <c r="E210" s="1">
        <v>0.32828282828282829</v>
      </c>
    </row>
    <row r="211" spans="1:5" x14ac:dyDescent="0.45">
      <c r="A211" s="2" t="s">
        <v>49</v>
      </c>
      <c r="B211" s="2" t="s">
        <v>498</v>
      </c>
      <c r="C211" s="1">
        <v>65</v>
      </c>
      <c r="D211" s="1">
        <v>99</v>
      </c>
      <c r="E211" s="1">
        <v>0.65656565656565657</v>
      </c>
    </row>
    <row r="212" spans="1:5" x14ac:dyDescent="0.45">
      <c r="A212" s="2" t="s">
        <v>86</v>
      </c>
      <c r="B212" s="2" t="s">
        <v>495</v>
      </c>
      <c r="C212" s="1">
        <v>64</v>
      </c>
      <c r="D212" s="1">
        <v>37</v>
      </c>
      <c r="E212" s="1">
        <v>1.7297297297297296</v>
      </c>
    </row>
    <row r="213" spans="1:5" x14ac:dyDescent="0.45">
      <c r="A213" s="2" t="s">
        <v>318</v>
      </c>
      <c r="B213" s="2" t="s">
        <v>494</v>
      </c>
      <c r="C213" s="1">
        <v>64</v>
      </c>
      <c r="D213" s="1">
        <v>107</v>
      </c>
      <c r="E213" s="1">
        <v>0.59813084112149528</v>
      </c>
    </row>
    <row r="214" spans="1:5" x14ac:dyDescent="0.45">
      <c r="A214" s="2" t="s">
        <v>143</v>
      </c>
      <c r="B214" s="2" t="s">
        <v>498</v>
      </c>
      <c r="C214" s="1">
        <v>64</v>
      </c>
      <c r="D214" s="1">
        <v>350</v>
      </c>
      <c r="E214" s="1">
        <v>0.18285714285714286</v>
      </c>
    </row>
    <row r="215" spans="1:5" x14ac:dyDescent="0.45">
      <c r="A215" s="2" t="s">
        <v>499</v>
      </c>
      <c r="B215" s="2" t="s">
        <v>498</v>
      </c>
      <c r="C215" s="1">
        <v>64</v>
      </c>
      <c r="D215" s="1">
        <v>576</v>
      </c>
      <c r="E215" s="1">
        <v>0.1111111111111111</v>
      </c>
    </row>
    <row r="216" spans="1:5" x14ac:dyDescent="0.45">
      <c r="A216" s="2" t="s">
        <v>137</v>
      </c>
      <c r="B216" s="2" t="s">
        <v>497</v>
      </c>
      <c r="C216" s="1">
        <v>64</v>
      </c>
      <c r="D216" s="1">
        <v>436</v>
      </c>
      <c r="E216" s="1">
        <v>0.14678899082568808</v>
      </c>
    </row>
    <row r="217" spans="1:5" x14ac:dyDescent="0.45">
      <c r="A217" s="2" t="s">
        <v>272</v>
      </c>
      <c r="B217" s="2" t="s">
        <v>496</v>
      </c>
      <c r="C217" s="1">
        <v>63</v>
      </c>
      <c r="D217" s="1">
        <v>140</v>
      </c>
      <c r="E217" s="1">
        <v>0.45</v>
      </c>
    </row>
    <row r="218" spans="1:5" x14ac:dyDescent="0.45">
      <c r="A218" s="2" t="s">
        <v>158</v>
      </c>
      <c r="B218" s="2" t="s">
        <v>498</v>
      </c>
      <c r="C218" s="1">
        <v>63</v>
      </c>
      <c r="D218" s="1">
        <v>136</v>
      </c>
      <c r="E218" s="1">
        <v>0.46323529411764708</v>
      </c>
    </row>
    <row r="219" spans="1:5" x14ac:dyDescent="0.45">
      <c r="A219" s="2" t="s">
        <v>11</v>
      </c>
      <c r="B219" s="2" t="s">
        <v>495</v>
      </c>
      <c r="C219" s="1">
        <v>63</v>
      </c>
      <c r="D219" s="1">
        <v>124</v>
      </c>
      <c r="E219" s="1">
        <v>0.50806451612903225</v>
      </c>
    </row>
    <row r="220" spans="1:5" x14ac:dyDescent="0.45">
      <c r="A220" s="2" t="s">
        <v>158</v>
      </c>
      <c r="B220" s="2" t="s">
        <v>498</v>
      </c>
      <c r="C220" s="1">
        <v>63</v>
      </c>
      <c r="D220" s="1">
        <v>352</v>
      </c>
      <c r="E220" s="1">
        <v>0.17897727272727273</v>
      </c>
    </row>
    <row r="221" spans="1:5" x14ac:dyDescent="0.45">
      <c r="A221" s="2" t="s">
        <v>289</v>
      </c>
      <c r="B221" s="2" t="s">
        <v>498</v>
      </c>
      <c r="C221" s="1">
        <v>63</v>
      </c>
      <c r="D221" s="1">
        <v>270</v>
      </c>
      <c r="E221" s="1">
        <v>0.23333333333333334</v>
      </c>
    </row>
    <row r="222" spans="1:5" x14ac:dyDescent="0.45">
      <c r="A222" s="2" t="s">
        <v>339</v>
      </c>
      <c r="B222" s="2" t="s">
        <v>497</v>
      </c>
      <c r="C222" s="1">
        <v>63</v>
      </c>
      <c r="D222" s="1">
        <v>220</v>
      </c>
      <c r="E222" s="1">
        <v>0.28636363636363638</v>
      </c>
    </row>
    <row r="223" spans="1:5" x14ac:dyDescent="0.45">
      <c r="A223" s="2" t="s">
        <v>121</v>
      </c>
      <c r="B223" s="2" t="s">
        <v>494</v>
      </c>
      <c r="C223" s="1">
        <v>62</v>
      </c>
      <c r="D223" s="1">
        <v>367</v>
      </c>
      <c r="E223" s="1">
        <v>0.16893732970027248</v>
      </c>
    </row>
    <row r="224" spans="1:5" x14ac:dyDescent="0.45">
      <c r="A224" s="2" t="s">
        <v>110</v>
      </c>
      <c r="B224" s="2" t="s">
        <v>495</v>
      </c>
      <c r="C224" s="1">
        <v>62</v>
      </c>
      <c r="D224" s="1">
        <v>29</v>
      </c>
      <c r="E224" s="1">
        <v>2.1379310344827585</v>
      </c>
    </row>
    <row r="225" spans="1:5" x14ac:dyDescent="0.45">
      <c r="A225" s="2" t="s">
        <v>33</v>
      </c>
      <c r="B225" s="2" t="s">
        <v>498</v>
      </c>
      <c r="C225" s="1">
        <v>62</v>
      </c>
      <c r="D225" s="1">
        <v>177</v>
      </c>
      <c r="E225" s="1">
        <v>0.35028248587570621</v>
      </c>
    </row>
    <row r="226" spans="1:5" x14ac:dyDescent="0.45">
      <c r="A226" s="2" t="s">
        <v>206</v>
      </c>
      <c r="B226" s="2" t="s">
        <v>495</v>
      </c>
      <c r="C226" s="1">
        <v>61</v>
      </c>
      <c r="D226" s="1">
        <v>26</v>
      </c>
      <c r="E226" s="1">
        <v>2.3461538461538463</v>
      </c>
    </row>
    <row r="227" spans="1:5" x14ac:dyDescent="0.45">
      <c r="A227" s="2" t="s">
        <v>47</v>
      </c>
      <c r="B227" s="2" t="s">
        <v>495</v>
      </c>
      <c r="C227" s="1">
        <v>61</v>
      </c>
      <c r="D227" s="1">
        <v>45</v>
      </c>
      <c r="E227" s="1">
        <v>1.3555555555555556</v>
      </c>
    </row>
    <row r="228" spans="1:5" x14ac:dyDescent="0.45">
      <c r="A228" s="2" t="s">
        <v>75</v>
      </c>
      <c r="B228" s="2" t="s">
        <v>497</v>
      </c>
      <c r="C228" s="1">
        <v>61</v>
      </c>
      <c r="D228" s="1">
        <v>207</v>
      </c>
      <c r="E228" s="1">
        <v>0.29468599033816423</v>
      </c>
    </row>
    <row r="229" spans="1:5" x14ac:dyDescent="0.45">
      <c r="A229" s="2" t="s">
        <v>43</v>
      </c>
      <c r="B229" s="2" t="s">
        <v>497</v>
      </c>
      <c r="C229" s="1">
        <v>61</v>
      </c>
      <c r="D229" s="1">
        <v>582</v>
      </c>
      <c r="E229" s="1">
        <v>0.10481099656357389</v>
      </c>
    </row>
    <row r="230" spans="1:5" x14ac:dyDescent="0.45">
      <c r="A230" s="2" t="s">
        <v>61</v>
      </c>
      <c r="B230" s="2" t="s">
        <v>496</v>
      </c>
      <c r="C230" s="1">
        <v>61</v>
      </c>
      <c r="D230" s="1">
        <v>621</v>
      </c>
      <c r="E230" s="1">
        <v>9.8228663446054756E-2</v>
      </c>
    </row>
    <row r="231" spans="1:5" x14ac:dyDescent="0.45">
      <c r="A231" s="2" t="s">
        <v>116</v>
      </c>
      <c r="B231" s="2" t="s">
        <v>494</v>
      </c>
      <c r="C231" s="1">
        <v>61</v>
      </c>
      <c r="D231" s="1">
        <v>91</v>
      </c>
      <c r="E231" s="1">
        <v>0.67032967032967028</v>
      </c>
    </row>
    <row r="232" spans="1:5" x14ac:dyDescent="0.45">
      <c r="A232" s="2" t="s">
        <v>143</v>
      </c>
      <c r="B232" s="2" t="s">
        <v>497</v>
      </c>
      <c r="C232" s="1">
        <v>61</v>
      </c>
      <c r="D232" s="1">
        <v>21</v>
      </c>
      <c r="E232" s="1">
        <v>2.9047619047619047</v>
      </c>
    </row>
    <row r="233" spans="1:5" x14ac:dyDescent="0.45">
      <c r="A233" s="2" t="s">
        <v>173</v>
      </c>
      <c r="B233" s="2" t="s">
        <v>495</v>
      </c>
      <c r="C233" s="1">
        <v>61</v>
      </c>
      <c r="D233" s="1">
        <v>121</v>
      </c>
      <c r="E233" s="1">
        <v>0.50413223140495866</v>
      </c>
    </row>
    <row r="234" spans="1:5" x14ac:dyDescent="0.45">
      <c r="A234" s="2" t="s">
        <v>110</v>
      </c>
      <c r="B234" s="2" t="s">
        <v>494</v>
      </c>
      <c r="C234" s="1">
        <v>61</v>
      </c>
      <c r="D234" s="1">
        <v>109</v>
      </c>
      <c r="E234" s="1">
        <v>0.55963302752293576</v>
      </c>
    </row>
    <row r="235" spans="1:5" x14ac:dyDescent="0.45">
      <c r="A235" s="2" t="s">
        <v>53</v>
      </c>
      <c r="B235" s="2" t="s">
        <v>496</v>
      </c>
      <c r="C235" s="1">
        <v>60</v>
      </c>
      <c r="D235" s="1">
        <v>336</v>
      </c>
      <c r="E235" s="1">
        <v>0.17857142857142858</v>
      </c>
    </row>
    <row r="236" spans="1:5" x14ac:dyDescent="0.45">
      <c r="A236" s="2" t="s">
        <v>11</v>
      </c>
      <c r="B236" s="2" t="s">
        <v>494</v>
      </c>
      <c r="C236" s="1">
        <v>60</v>
      </c>
      <c r="D236" s="1">
        <v>21</v>
      </c>
      <c r="E236" s="1">
        <v>2.8571428571428572</v>
      </c>
    </row>
    <row r="237" spans="1:5" x14ac:dyDescent="0.45">
      <c r="A237" s="2" t="s">
        <v>176</v>
      </c>
      <c r="B237" s="2" t="s">
        <v>494</v>
      </c>
      <c r="C237" s="1">
        <v>60</v>
      </c>
      <c r="D237" s="1">
        <v>387</v>
      </c>
      <c r="E237" s="1">
        <v>0.15503875968992248</v>
      </c>
    </row>
    <row r="238" spans="1:5" x14ac:dyDescent="0.45">
      <c r="A238" s="2" t="s">
        <v>71</v>
      </c>
      <c r="B238" s="2" t="s">
        <v>496</v>
      </c>
      <c r="C238" s="1">
        <v>60</v>
      </c>
      <c r="D238" s="1">
        <v>346</v>
      </c>
      <c r="E238" s="1">
        <v>0.17341040462427745</v>
      </c>
    </row>
    <row r="239" spans="1:5" x14ac:dyDescent="0.45">
      <c r="A239" s="2" t="s">
        <v>189</v>
      </c>
      <c r="B239" s="2" t="s">
        <v>497</v>
      </c>
      <c r="C239" s="1">
        <v>60</v>
      </c>
      <c r="D239" s="1">
        <v>76</v>
      </c>
      <c r="E239" s="1">
        <v>0.78947368421052633</v>
      </c>
    </row>
    <row r="240" spans="1:5" x14ac:dyDescent="0.45">
      <c r="A240" s="2" t="s">
        <v>189</v>
      </c>
      <c r="B240" s="2" t="s">
        <v>497</v>
      </c>
      <c r="C240" s="1">
        <v>59</v>
      </c>
      <c r="D240" s="1">
        <v>728</v>
      </c>
      <c r="E240" s="1">
        <v>8.1043956043956047E-2</v>
      </c>
    </row>
    <row r="241" spans="1:5" x14ac:dyDescent="0.45">
      <c r="A241" s="2" t="s">
        <v>99</v>
      </c>
      <c r="B241" s="2" t="s">
        <v>497</v>
      </c>
      <c r="C241" s="1">
        <v>59</v>
      </c>
      <c r="D241" s="1">
        <v>90</v>
      </c>
      <c r="E241" s="1">
        <v>0.65555555555555556</v>
      </c>
    </row>
    <row r="242" spans="1:5" x14ac:dyDescent="0.45">
      <c r="A242" s="2" t="s">
        <v>51</v>
      </c>
      <c r="B242" s="2" t="s">
        <v>497</v>
      </c>
      <c r="C242" s="1">
        <v>59</v>
      </c>
      <c r="D242" s="1">
        <v>212</v>
      </c>
      <c r="E242" s="1">
        <v>0.27830188679245282</v>
      </c>
    </row>
    <row r="243" spans="1:5" x14ac:dyDescent="0.45">
      <c r="A243" s="2" t="s">
        <v>16</v>
      </c>
      <c r="B243" s="2" t="s">
        <v>495</v>
      </c>
      <c r="C243" s="1">
        <v>59</v>
      </c>
      <c r="D243" s="1">
        <v>353</v>
      </c>
      <c r="E243" s="1">
        <v>0.16713881019830029</v>
      </c>
    </row>
    <row r="244" spans="1:5" x14ac:dyDescent="0.45">
      <c r="A244" s="2" t="s">
        <v>215</v>
      </c>
      <c r="B244" s="2" t="s">
        <v>494</v>
      </c>
      <c r="C244" s="1">
        <v>59</v>
      </c>
      <c r="D244" s="1">
        <v>333</v>
      </c>
      <c r="E244" s="1">
        <v>0.17717717717717718</v>
      </c>
    </row>
    <row r="245" spans="1:5" x14ac:dyDescent="0.45">
      <c r="A245" s="2" t="s">
        <v>116</v>
      </c>
      <c r="B245" s="2" t="s">
        <v>498</v>
      </c>
      <c r="C245" s="1">
        <v>59</v>
      </c>
      <c r="D245" s="1">
        <v>252</v>
      </c>
      <c r="E245" s="1">
        <v>0.23412698412698413</v>
      </c>
    </row>
    <row r="246" spans="1:5" x14ac:dyDescent="0.45">
      <c r="A246" s="2" t="s">
        <v>77</v>
      </c>
      <c r="B246" s="2" t="s">
        <v>496</v>
      </c>
      <c r="C246" s="1">
        <v>59</v>
      </c>
      <c r="D246" s="1">
        <v>255</v>
      </c>
      <c r="E246" s="1">
        <v>0.23137254901960785</v>
      </c>
    </row>
    <row r="247" spans="1:5" x14ac:dyDescent="0.45">
      <c r="A247" s="2" t="s">
        <v>73</v>
      </c>
      <c r="B247" s="2" t="s">
        <v>497</v>
      </c>
      <c r="C247" s="1">
        <v>59</v>
      </c>
      <c r="D247" s="1">
        <v>355</v>
      </c>
      <c r="E247" s="1">
        <v>0.16619718309859155</v>
      </c>
    </row>
    <row r="248" spans="1:5" x14ac:dyDescent="0.45">
      <c r="A248" s="2" t="s">
        <v>59</v>
      </c>
      <c r="B248" s="2" t="s">
        <v>498</v>
      </c>
      <c r="C248" s="1">
        <v>59</v>
      </c>
      <c r="D248" s="1">
        <v>137</v>
      </c>
      <c r="E248" s="1">
        <v>0.43065693430656932</v>
      </c>
    </row>
    <row r="249" spans="1:5" x14ac:dyDescent="0.45">
      <c r="A249" s="2" t="s">
        <v>209</v>
      </c>
      <c r="B249" s="2" t="s">
        <v>497</v>
      </c>
      <c r="C249" s="1">
        <v>59</v>
      </c>
      <c r="D249" s="1">
        <v>267</v>
      </c>
      <c r="E249" s="1">
        <v>0.22097378277153559</v>
      </c>
    </row>
    <row r="250" spans="1:5" x14ac:dyDescent="0.45">
      <c r="A250" s="2" t="s">
        <v>116</v>
      </c>
      <c r="B250" s="2" t="s">
        <v>498</v>
      </c>
      <c r="C250" s="1">
        <v>59</v>
      </c>
      <c r="D250" s="1">
        <v>659</v>
      </c>
      <c r="E250" s="1">
        <v>8.9529590288315627E-2</v>
      </c>
    </row>
    <row r="251" spans="1:5" x14ac:dyDescent="0.45">
      <c r="A251" s="2" t="s">
        <v>176</v>
      </c>
      <c r="B251" s="2" t="s">
        <v>494</v>
      </c>
      <c r="C251" s="1">
        <v>58</v>
      </c>
      <c r="D251" s="1">
        <v>354</v>
      </c>
      <c r="E251" s="1">
        <v>0.16384180790960451</v>
      </c>
    </row>
    <row r="252" spans="1:5" x14ac:dyDescent="0.45">
      <c r="A252" s="2" t="s">
        <v>73</v>
      </c>
      <c r="B252" s="2" t="s">
        <v>495</v>
      </c>
      <c r="C252" s="1">
        <v>58</v>
      </c>
      <c r="D252" s="1">
        <v>661</v>
      </c>
      <c r="E252" s="1">
        <v>8.7745839636913764E-2</v>
      </c>
    </row>
    <row r="253" spans="1:5" x14ac:dyDescent="0.45">
      <c r="A253" s="2" t="s">
        <v>339</v>
      </c>
      <c r="B253" s="2" t="s">
        <v>494</v>
      </c>
      <c r="C253" s="1">
        <v>58</v>
      </c>
      <c r="D253" s="1">
        <v>377</v>
      </c>
      <c r="E253" s="1">
        <v>0.15384615384615385</v>
      </c>
    </row>
    <row r="254" spans="1:5" x14ac:dyDescent="0.45">
      <c r="A254" s="2" t="s">
        <v>84</v>
      </c>
      <c r="B254" s="2" t="s">
        <v>494</v>
      </c>
      <c r="C254" s="1">
        <v>58</v>
      </c>
      <c r="D254" s="1">
        <v>911</v>
      </c>
      <c r="E254" s="1">
        <v>6.3666300768386391E-2</v>
      </c>
    </row>
    <row r="255" spans="1:5" x14ac:dyDescent="0.45">
      <c r="A255" s="2" t="s">
        <v>258</v>
      </c>
      <c r="B255" s="2" t="s">
        <v>495</v>
      </c>
      <c r="C255" s="1">
        <v>58</v>
      </c>
      <c r="D255" s="1">
        <v>314</v>
      </c>
      <c r="E255" s="1">
        <v>0.18471337579617833</v>
      </c>
    </row>
    <row r="256" spans="1:5" x14ac:dyDescent="0.45">
      <c r="A256" s="2" t="s">
        <v>33</v>
      </c>
      <c r="B256" s="2" t="s">
        <v>496</v>
      </c>
      <c r="C256" s="1">
        <v>57</v>
      </c>
      <c r="D256" s="1">
        <v>146</v>
      </c>
      <c r="E256" s="1">
        <v>0.3904109589041096</v>
      </c>
    </row>
    <row r="257" spans="1:5" x14ac:dyDescent="0.45">
      <c r="A257" s="2" t="s">
        <v>176</v>
      </c>
      <c r="B257" s="2" t="s">
        <v>495</v>
      </c>
      <c r="C257" s="1">
        <v>57</v>
      </c>
      <c r="D257" s="1">
        <v>139</v>
      </c>
      <c r="E257" s="1">
        <v>0.41007194244604317</v>
      </c>
    </row>
    <row r="258" spans="1:5" x14ac:dyDescent="0.45">
      <c r="A258" s="2" t="s">
        <v>82</v>
      </c>
      <c r="B258" s="2" t="s">
        <v>497</v>
      </c>
      <c r="C258" s="1">
        <v>57</v>
      </c>
      <c r="D258" s="1">
        <v>19</v>
      </c>
      <c r="E258" s="1">
        <v>3</v>
      </c>
    </row>
    <row r="259" spans="1:5" x14ac:dyDescent="0.45">
      <c r="A259" s="2" t="s">
        <v>61</v>
      </c>
      <c r="B259" s="2" t="s">
        <v>497</v>
      </c>
      <c r="C259" s="1">
        <v>57</v>
      </c>
      <c r="D259" s="1">
        <v>81</v>
      </c>
      <c r="E259" s="1">
        <v>0.70370370370370372</v>
      </c>
    </row>
    <row r="260" spans="1:5" x14ac:dyDescent="0.45">
      <c r="A260" s="2" t="s">
        <v>86</v>
      </c>
      <c r="B260" s="2" t="s">
        <v>494</v>
      </c>
      <c r="C260" s="1">
        <v>57</v>
      </c>
      <c r="D260" s="1">
        <v>213</v>
      </c>
      <c r="E260" s="1">
        <v>0.26760563380281688</v>
      </c>
    </row>
    <row r="261" spans="1:5" x14ac:dyDescent="0.45">
      <c r="A261" s="2" t="s">
        <v>342</v>
      </c>
      <c r="B261" s="2" t="s">
        <v>496</v>
      </c>
      <c r="C261" s="1">
        <v>56</v>
      </c>
      <c r="D261" s="1">
        <v>521</v>
      </c>
      <c r="E261" s="1">
        <v>0.10748560460652591</v>
      </c>
    </row>
    <row r="262" spans="1:5" x14ac:dyDescent="0.45">
      <c r="A262" s="2" t="s">
        <v>113</v>
      </c>
      <c r="B262" s="2" t="s">
        <v>497</v>
      </c>
      <c r="C262" s="1">
        <v>56</v>
      </c>
      <c r="D262" s="1">
        <v>2</v>
      </c>
      <c r="E262" s="1">
        <v>28</v>
      </c>
    </row>
    <row r="263" spans="1:5" x14ac:dyDescent="0.45">
      <c r="A263" s="2" t="s">
        <v>84</v>
      </c>
      <c r="B263" s="2" t="s">
        <v>496</v>
      </c>
      <c r="C263" s="1">
        <v>56</v>
      </c>
      <c r="D263" s="1">
        <v>57</v>
      </c>
      <c r="E263" s="1">
        <v>0.98245614035087714</v>
      </c>
    </row>
    <row r="264" spans="1:5" x14ac:dyDescent="0.45">
      <c r="A264" s="2" t="s">
        <v>158</v>
      </c>
      <c r="B264" s="2" t="s">
        <v>497</v>
      </c>
      <c r="C264" s="1">
        <v>56</v>
      </c>
      <c r="D264" s="1">
        <v>206</v>
      </c>
      <c r="E264" s="1">
        <v>0.27184466019417475</v>
      </c>
    </row>
    <row r="265" spans="1:5" x14ac:dyDescent="0.45">
      <c r="A265" s="2" t="s">
        <v>171</v>
      </c>
      <c r="B265" s="2" t="s">
        <v>498</v>
      </c>
      <c r="C265" s="1">
        <v>55</v>
      </c>
      <c r="D265" s="1">
        <v>555</v>
      </c>
      <c r="E265" s="1">
        <v>9.90990990990991E-2</v>
      </c>
    </row>
    <row r="266" spans="1:5" x14ac:dyDescent="0.45">
      <c r="A266" s="2" t="s">
        <v>123</v>
      </c>
      <c r="B266" s="2" t="s">
        <v>498</v>
      </c>
      <c r="C266" s="1">
        <v>55</v>
      </c>
      <c r="D266" s="1">
        <v>125</v>
      </c>
      <c r="E266" s="1">
        <v>0.44</v>
      </c>
    </row>
    <row r="267" spans="1:5" x14ac:dyDescent="0.45">
      <c r="A267" s="2" t="s">
        <v>35</v>
      </c>
      <c r="B267" s="2" t="s">
        <v>494</v>
      </c>
      <c r="C267" s="1">
        <v>55</v>
      </c>
      <c r="D267" s="1">
        <v>66</v>
      </c>
      <c r="E267" s="1">
        <v>0.83333333333333337</v>
      </c>
    </row>
    <row r="268" spans="1:5" x14ac:dyDescent="0.45">
      <c r="A268" s="2" t="s">
        <v>66</v>
      </c>
      <c r="B268" s="2" t="s">
        <v>496</v>
      </c>
      <c r="C268" s="1">
        <v>54</v>
      </c>
      <c r="D268" s="1">
        <v>28</v>
      </c>
      <c r="E268" s="1">
        <v>1.9285714285714286</v>
      </c>
    </row>
    <row r="269" spans="1:5" x14ac:dyDescent="0.45">
      <c r="A269" s="2" t="s">
        <v>158</v>
      </c>
      <c r="B269" s="2" t="s">
        <v>495</v>
      </c>
      <c r="C269" s="1">
        <v>54</v>
      </c>
      <c r="D269" s="1">
        <v>40</v>
      </c>
      <c r="E269" s="1">
        <v>1.35</v>
      </c>
    </row>
    <row r="270" spans="1:5" x14ac:dyDescent="0.45">
      <c r="A270" s="2" t="s">
        <v>242</v>
      </c>
      <c r="B270" s="2" t="s">
        <v>494</v>
      </c>
      <c r="C270" s="1">
        <v>54</v>
      </c>
      <c r="D270" s="1">
        <v>208</v>
      </c>
      <c r="E270" s="1">
        <v>0.25961538461538464</v>
      </c>
    </row>
    <row r="271" spans="1:5" x14ac:dyDescent="0.45">
      <c r="A271" s="2" t="s">
        <v>23</v>
      </c>
      <c r="B271" s="2" t="s">
        <v>494</v>
      </c>
      <c r="C271" s="1">
        <v>54</v>
      </c>
      <c r="D271" s="1">
        <v>233</v>
      </c>
      <c r="E271" s="1">
        <v>0.23175965665236051</v>
      </c>
    </row>
    <row r="272" spans="1:5" x14ac:dyDescent="0.45">
      <c r="A272" s="2" t="s">
        <v>25</v>
      </c>
      <c r="B272" s="2" t="s">
        <v>496</v>
      </c>
      <c r="C272" s="1">
        <v>54</v>
      </c>
      <c r="D272" s="1">
        <v>619</v>
      </c>
      <c r="E272" s="1">
        <v>8.723747980613894E-2</v>
      </c>
    </row>
    <row r="273" spans="1:5" x14ac:dyDescent="0.45">
      <c r="A273" s="2" t="s">
        <v>51</v>
      </c>
      <c r="B273" s="2" t="s">
        <v>495</v>
      </c>
      <c r="C273" s="1">
        <v>54</v>
      </c>
      <c r="D273" s="1">
        <v>115</v>
      </c>
      <c r="E273" s="1">
        <v>0.46956521739130436</v>
      </c>
    </row>
    <row r="274" spans="1:5" x14ac:dyDescent="0.45">
      <c r="A274" s="2" t="s">
        <v>99</v>
      </c>
      <c r="B274" s="2" t="s">
        <v>496</v>
      </c>
      <c r="C274" s="1">
        <v>54</v>
      </c>
      <c r="D274" s="1">
        <v>144</v>
      </c>
      <c r="E274" s="1">
        <v>0.375</v>
      </c>
    </row>
    <row r="275" spans="1:5" x14ac:dyDescent="0.45">
      <c r="A275" s="2" t="s">
        <v>53</v>
      </c>
      <c r="B275" s="2" t="s">
        <v>494</v>
      </c>
      <c r="C275" s="1">
        <v>54</v>
      </c>
      <c r="D275" s="1">
        <v>41</v>
      </c>
      <c r="E275" s="1">
        <v>1.3170731707317074</v>
      </c>
    </row>
    <row r="276" spans="1:5" x14ac:dyDescent="0.45">
      <c r="A276" s="2" t="s">
        <v>262</v>
      </c>
      <c r="B276" s="2" t="s">
        <v>494</v>
      </c>
      <c r="C276" s="1">
        <v>53</v>
      </c>
      <c r="D276" s="1">
        <v>896</v>
      </c>
      <c r="E276" s="1">
        <v>5.9151785714285712E-2</v>
      </c>
    </row>
    <row r="277" spans="1:5" x14ac:dyDescent="0.45">
      <c r="A277" s="2" t="s">
        <v>410</v>
      </c>
      <c r="B277" s="2" t="s">
        <v>495</v>
      </c>
      <c r="C277" s="1">
        <v>53</v>
      </c>
      <c r="D277" s="1">
        <v>102</v>
      </c>
      <c r="E277" s="1">
        <v>0.51960784313725494</v>
      </c>
    </row>
    <row r="278" spans="1:5" x14ac:dyDescent="0.45">
      <c r="A278" s="2" t="s">
        <v>8</v>
      </c>
      <c r="B278" s="2" t="s">
        <v>495</v>
      </c>
      <c r="C278" s="1">
        <v>53</v>
      </c>
      <c r="D278" s="1">
        <v>111</v>
      </c>
      <c r="E278" s="1">
        <v>0.47747747747747749</v>
      </c>
    </row>
    <row r="279" spans="1:5" x14ac:dyDescent="0.45">
      <c r="A279" s="2" t="s">
        <v>37</v>
      </c>
      <c r="B279" s="2" t="s">
        <v>494</v>
      </c>
      <c r="C279" s="1">
        <v>53</v>
      </c>
      <c r="D279" s="1">
        <v>42</v>
      </c>
      <c r="E279" s="1">
        <v>1.2619047619047619</v>
      </c>
    </row>
    <row r="280" spans="1:5" x14ac:dyDescent="0.45">
      <c r="A280" s="2" t="s">
        <v>27</v>
      </c>
      <c r="B280" s="2" t="s">
        <v>498</v>
      </c>
      <c r="C280" s="1">
        <v>53</v>
      </c>
      <c r="D280" s="1">
        <v>933</v>
      </c>
      <c r="E280" s="1">
        <v>5.6806002143622719E-2</v>
      </c>
    </row>
    <row r="281" spans="1:5" x14ac:dyDescent="0.45">
      <c r="A281" s="2" t="s">
        <v>49</v>
      </c>
      <c r="B281" s="2" t="s">
        <v>495</v>
      </c>
      <c r="C281" s="1">
        <v>53</v>
      </c>
      <c r="D281" s="1">
        <v>165</v>
      </c>
      <c r="E281" s="1">
        <v>0.32121212121212123</v>
      </c>
    </row>
    <row r="282" spans="1:5" x14ac:dyDescent="0.45">
      <c r="A282" s="2" t="s">
        <v>189</v>
      </c>
      <c r="B282" s="2" t="s">
        <v>494</v>
      </c>
      <c r="C282" s="1">
        <v>53</v>
      </c>
      <c r="D282" s="1">
        <v>15</v>
      </c>
      <c r="E282" s="1">
        <v>3.5333333333333332</v>
      </c>
    </row>
    <row r="283" spans="1:5" x14ac:dyDescent="0.45">
      <c r="A283" s="2" t="s">
        <v>33</v>
      </c>
      <c r="B283" s="2" t="s">
        <v>498</v>
      </c>
      <c r="C283" s="1">
        <v>53</v>
      </c>
      <c r="D283" s="1">
        <v>37</v>
      </c>
      <c r="E283" s="1">
        <v>1.4324324324324325</v>
      </c>
    </row>
    <row r="284" spans="1:5" x14ac:dyDescent="0.45">
      <c r="A284" s="2" t="s">
        <v>33</v>
      </c>
      <c r="B284" s="2" t="s">
        <v>498</v>
      </c>
      <c r="C284" s="1">
        <v>53</v>
      </c>
      <c r="D284" s="1">
        <v>155</v>
      </c>
      <c r="E284" s="1">
        <v>0.34193548387096773</v>
      </c>
    </row>
    <row r="285" spans="1:5" x14ac:dyDescent="0.45">
      <c r="A285" s="2" t="s">
        <v>37</v>
      </c>
      <c r="B285" s="2" t="s">
        <v>498</v>
      </c>
      <c r="C285" s="1">
        <v>52</v>
      </c>
      <c r="D285" s="1">
        <v>642</v>
      </c>
      <c r="E285" s="1">
        <v>8.0996884735202487E-2</v>
      </c>
    </row>
    <row r="286" spans="1:5" x14ac:dyDescent="0.45">
      <c r="A286" s="2" t="s">
        <v>146</v>
      </c>
      <c r="B286" s="2" t="s">
        <v>496</v>
      </c>
      <c r="C286" s="1">
        <v>52</v>
      </c>
      <c r="D286" s="1">
        <v>695</v>
      </c>
      <c r="E286" s="1">
        <v>7.4820143884892082E-2</v>
      </c>
    </row>
    <row r="287" spans="1:5" x14ac:dyDescent="0.45">
      <c r="A287" s="2" t="s">
        <v>96</v>
      </c>
      <c r="B287" s="2" t="s">
        <v>496</v>
      </c>
      <c r="C287" s="1">
        <v>52</v>
      </c>
      <c r="D287" s="1">
        <v>33</v>
      </c>
      <c r="E287" s="1">
        <v>1.5757575757575757</v>
      </c>
    </row>
    <row r="288" spans="1:5" x14ac:dyDescent="0.45">
      <c r="A288" s="2" t="s">
        <v>29</v>
      </c>
      <c r="B288" s="2" t="s">
        <v>495</v>
      </c>
      <c r="C288" s="1">
        <v>52</v>
      </c>
      <c r="D288" s="1">
        <v>109</v>
      </c>
      <c r="E288" s="1">
        <v>0.47706422018348627</v>
      </c>
    </row>
    <row r="289" spans="1:5" x14ac:dyDescent="0.45">
      <c r="A289" s="2" t="s">
        <v>206</v>
      </c>
      <c r="B289" s="2" t="s">
        <v>498</v>
      </c>
      <c r="C289" s="1">
        <v>52</v>
      </c>
      <c r="D289" s="1">
        <v>583</v>
      </c>
      <c r="E289" s="1">
        <v>8.9193825042881647E-2</v>
      </c>
    </row>
    <row r="290" spans="1:5" x14ac:dyDescent="0.45">
      <c r="A290" s="2" t="s">
        <v>499</v>
      </c>
      <c r="B290" s="2" t="s">
        <v>494</v>
      </c>
      <c r="C290" s="1">
        <v>52</v>
      </c>
      <c r="D290" s="1">
        <v>664</v>
      </c>
      <c r="E290" s="1">
        <v>7.8313253012048195E-2</v>
      </c>
    </row>
    <row r="291" spans="1:5" x14ac:dyDescent="0.45">
      <c r="A291" s="2" t="s">
        <v>110</v>
      </c>
      <c r="B291" s="2" t="s">
        <v>497</v>
      </c>
      <c r="C291" s="1">
        <v>51</v>
      </c>
      <c r="D291" s="1">
        <v>143</v>
      </c>
      <c r="E291" s="1">
        <v>0.35664335664335667</v>
      </c>
    </row>
    <row r="292" spans="1:5" x14ac:dyDescent="0.45">
      <c r="A292" s="2" t="s">
        <v>61</v>
      </c>
      <c r="B292" s="2" t="s">
        <v>498</v>
      </c>
      <c r="C292" s="1">
        <v>51</v>
      </c>
      <c r="D292" s="1">
        <v>100</v>
      </c>
      <c r="E292" s="1">
        <v>0.51</v>
      </c>
    </row>
    <row r="293" spans="1:5" x14ac:dyDescent="0.45">
      <c r="A293" s="2" t="s">
        <v>63</v>
      </c>
      <c r="B293" s="2" t="s">
        <v>494</v>
      </c>
      <c r="C293" s="1">
        <v>51</v>
      </c>
      <c r="D293" s="1">
        <v>55</v>
      </c>
      <c r="E293" s="1">
        <v>0.92727272727272725</v>
      </c>
    </row>
    <row r="294" spans="1:5" x14ac:dyDescent="0.45">
      <c r="A294" s="2" t="s">
        <v>66</v>
      </c>
      <c r="B294" s="2" t="s">
        <v>494</v>
      </c>
      <c r="C294" s="1">
        <v>51</v>
      </c>
      <c r="D294" s="1">
        <v>65</v>
      </c>
      <c r="E294" s="1">
        <v>0.7846153846153846</v>
      </c>
    </row>
    <row r="295" spans="1:5" x14ac:dyDescent="0.45">
      <c r="A295" s="2" t="s">
        <v>8</v>
      </c>
      <c r="B295" s="2" t="s">
        <v>496</v>
      </c>
      <c r="C295" s="1">
        <v>50</v>
      </c>
      <c r="D295" s="1">
        <v>128</v>
      </c>
      <c r="E295" s="1">
        <v>0.390625</v>
      </c>
    </row>
    <row r="296" spans="1:5" x14ac:dyDescent="0.45">
      <c r="A296" s="2" t="s">
        <v>238</v>
      </c>
      <c r="B296" s="2" t="s">
        <v>498</v>
      </c>
      <c r="C296" s="1">
        <v>50</v>
      </c>
      <c r="D296" s="1">
        <v>16</v>
      </c>
      <c r="E296" s="1">
        <v>3.125</v>
      </c>
    </row>
    <row r="297" spans="1:5" x14ac:dyDescent="0.45">
      <c r="A297" s="2" t="s">
        <v>33</v>
      </c>
      <c r="B297" s="2" t="s">
        <v>496</v>
      </c>
      <c r="C297" s="1">
        <v>50</v>
      </c>
      <c r="D297" s="1">
        <v>104</v>
      </c>
      <c r="E297" s="1">
        <v>0.48076923076923078</v>
      </c>
    </row>
    <row r="298" spans="1:5" x14ac:dyDescent="0.45">
      <c r="A298" s="2" t="s">
        <v>113</v>
      </c>
      <c r="B298" s="2" t="s">
        <v>496</v>
      </c>
      <c r="C298" s="1">
        <v>50</v>
      </c>
      <c r="D298" s="1">
        <v>87</v>
      </c>
      <c r="E298" s="1">
        <v>0.57471264367816088</v>
      </c>
    </row>
    <row r="299" spans="1:5" x14ac:dyDescent="0.45">
      <c r="A299" s="2" t="s">
        <v>291</v>
      </c>
      <c r="B299" s="2" t="s">
        <v>496</v>
      </c>
      <c r="C299" s="1">
        <v>50</v>
      </c>
      <c r="D299" s="1">
        <v>94</v>
      </c>
      <c r="E299" s="1">
        <v>0.53191489361702127</v>
      </c>
    </row>
    <row r="300" spans="1:5" x14ac:dyDescent="0.45">
      <c r="A300" s="2" t="s">
        <v>11</v>
      </c>
      <c r="B300" s="2" t="s">
        <v>494</v>
      </c>
      <c r="C300" s="1">
        <v>50</v>
      </c>
      <c r="D300" s="1">
        <v>218</v>
      </c>
      <c r="E300" s="1">
        <v>0.22935779816513763</v>
      </c>
    </row>
    <row r="301" spans="1:5" x14ac:dyDescent="0.45">
      <c r="A301" s="2" t="s">
        <v>123</v>
      </c>
      <c r="B301" s="2" t="s">
        <v>494</v>
      </c>
      <c r="C301" s="1">
        <v>50</v>
      </c>
      <c r="D301" s="1">
        <v>632</v>
      </c>
      <c r="E301" s="1">
        <v>7.9113924050632917E-2</v>
      </c>
    </row>
    <row r="302" spans="1:5" x14ac:dyDescent="0.45">
      <c r="A302" s="2" t="s">
        <v>219</v>
      </c>
      <c r="B302" s="2" t="s">
        <v>497</v>
      </c>
      <c r="C302" s="1">
        <v>50</v>
      </c>
      <c r="D302" s="1">
        <v>547</v>
      </c>
      <c r="E302" s="1">
        <v>9.1407678244972576E-2</v>
      </c>
    </row>
    <row r="303" spans="1:5" x14ac:dyDescent="0.45">
      <c r="A303" s="2" t="s">
        <v>192</v>
      </c>
      <c r="B303" s="2" t="s">
        <v>498</v>
      </c>
      <c r="C303" s="1">
        <v>50</v>
      </c>
      <c r="D303" s="1">
        <v>306</v>
      </c>
      <c r="E303" s="1">
        <v>0.16339869281045752</v>
      </c>
    </row>
    <row r="304" spans="1:5" x14ac:dyDescent="0.45">
      <c r="A304" s="2" t="s">
        <v>240</v>
      </c>
      <c r="B304" s="2" t="s">
        <v>496</v>
      </c>
      <c r="C304" s="1">
        <v>50</v>
      </c>
      <c r="D304" s="1">
        <v>136</v>
      </c>
      <c r="E304" s="1">
        <v>0.36764705882352944</v>
      </c>
    </row>
    <row r="305" spans="1:5" x14ac:dyDescent="0.45">
      <c r="A305" s="2" t="s">
        <v>352</v>
      </c>
      <c r="B305" s="2" t="s">
        <v>498</v>
      </c>
      <c r="C305" s="1">
        <v>50</v>
      </c>
      <c r="D305" s="1">
        <v>254</v>
      </c>
      <c r="E305" s="1">
        <v>0.19685039370078741</v>
      </c>
    </row>
    <row r="306" spans="1:5" x14ac:dyDescent="0.45">
      <c r="A306" s="2" t="s">
        <v>165</v>
      </c>
      <c r="B306" s="2" t="s">
        <v>498</v>
      </c>
      <c r="C306" s="1">
        <v>50</v>
      </c>
      <c r="D306" s="1">
        <v>314</v>
      </c>
      <c r="E306" s="1">
        <v>0.15923566878980891</v>
      </c>
    </row>
    <row r="307" spans="1:5" x14ac:dyDescent="0.45">
      <c r="A307" s="2" t="s">
        <v>272</v>
      </c>
      <c r="B307" s="2" t="s">
        <v>494</v>
      </c>
      <c r="C307" s="1">
        <v>50</v>
      </c>
      <c r="D307" s="1">
        <v>454</v>
      </c>
      <c r="E307" s="1">
        <v>0.11013215859030837</v>
      </c>
    </row>
    <row r="308" spans="1:5" x14ac:dyDescent="0.45">
      <c r="A308" s="2" t="s">
        <v>11</v>
      </c>
      <c r="B308" s="2" t="s">
        <v>494</v>
      </c>
      <c r="C308" s="1">
        <v>50</v>
      </c>
      <c r="D308" s="1">
        <v>730</v>
      </c>
      <c r="E308" s="1">
        <v>6.8493150684931503E-2</v>
      </c>
    </row>
    <row r="309" spans="1:5" x14ac:dyDescent="0.45">
      <c r="A309" s="2" t="s">
        <v>277</v>
      </c>
      <c r="B309" s="2" t="s">
        <v>495</v>
      </c>
      <c r="C309" s="1">
        <v>50</v>
      </c>
      <c r="D309" s="1">
        <v>50</v>
      </c>
      <c r="E309" s="1">
        <v>1</v>
      </c>
    </row>
    <row r="310" spans="1:5" x14ac:dyDescent="0.45">
      <c r="A310" s="2" t="s">
        <v>8</v>
      </c>
      <c r="B310" s="2" t="s">
        <v>495</v>
      </c>
      <c r="C310" s="1">
        <v>50</v>
      </c>
      <c r="D310" s="1">
        <v>171</v>
      </c>
      <c r="E310" s="1">
        <v>0.29239766081871343</v>
      </c>
    </row>
    <row r="311" spans="1:5" x14ac:dyDescent="0.45">
      <c r="A311" s="2" t="s">
        <v>89</v>
      </c>
      <c r="B311" s="2" t="s">
        <v>498</v>
      </c>
      <c r="C311" s="1">
        <v>50</v>
      </c>
      <c r="D311" s="1">
        <v>42</v>
      </c>
      <c r="E311" s="1">
        <v>1.1904761904761905</v>
      </c>
    </row>
    <row r="312" spans="1:5" x14ac:dyDescent="0.45">
      <c r="A312" s="2" t="s">
        <v>118</v>
      </c>
      <c r="B312" s="2" t="s">
        <v>498</v>
      </c>
      <c r="C312" s="1">
        <v>50</v>
      </c>
      <c r="D312" s="1">
        <v>540</v>
      </c>
      <c r="E312" s="1">
        <v>9.2592592592592587E-2</v>
      </c>
    </row>
    <row r="313" spans="1:5" x14ac:dyDescent="0.45">
      <c r="A313" s="2" t="s">
        <v>73</v>
      </c>
      <c r="B313" s="2" t="s">
        <v>497</v>
      </c>
      <c r="C313" s="1">
        <v>50</v>
      </c>
      <c r="D313" s="1">
        <v>675</v>
      </c>
      <c r="E313" s="1">
        <v>7.407407407407407E-2</v>
      </c>
    </row>
    <row r="314" spans="1:5" x14ac:dyDescent="0.45">
      <c r="A314" s="2" t="s">
        <v>82</v>
      </c>
      <c r="B314" s="2" t="s">
        <v>494</v>
      </c>
      <c r="C314" s="1">
        <v>50</v>
      </c>
      <c r="D314" s="1">
        <v>135</v>
      </c>
      <c r="E314" s="1">
        <v>0.37037037037037035</v>
      </c>
    </row>
    <row r="315" spans="1:5" x14ac:dyDescent="0.45">
      <c r="A315" s="2" t="s">
        <v>196</v>
      </c>
      <c r="B315" s="2" t="s">
        <v>498</v>
      </c>
      <c r="C315" s="1">
        <v>49</v>
      </c>
      <c r="D315" s="1">
        <v>234</v>
      </c>
      <c r="E315" s="1">
        <v>0.20940170940170941</v>
      </c>
    </row>
    <row r="316" spans="1:5" x14ac:dyDescent="0.45">
      <c r="A316" s="2" t="s">
        <v>77</v>
      </c>
      <c r="B316" s="2" t="s">
        <v>496</v>
      </c>
      <c r="C316" s="1">
        <v>49</v>
      </c>
      <c r="D316" s="1">
        <v>92</v>
      </c>
      <c r="E316" s="1">
        <v>0.53260869565217395</v>
      </c>
    </row>
    <row r="317" spans="1:5" x14ac:dyDescent="0.45">
      <c r="A317" s="2" t="s">
        <v>129</v>
      </c>
      <c r="B317" s="2" t="s">
        <v>497</v>
      </c>
      <c r="C317" s="1">
        <v>49</v>
      </c>
      <c r="D317" s="1">
        <v>62</v>
      </c>
      <c r="E317" s="1">
        <v>0.79032258064516125</v>
      </c>
    </row>
    <row r="318" spans="1:5" x14ac:dyDescent="0.45">
      <c r="A318" s="2" t="s">
        <v>29</v>
      </c>
      <c r="B318" s="2" t="s">
        <v>494</v>
      </c>
      <c r="C318" s="1">
        <v>49</v>
      </c>
      <c r="D318" s="1">
        <v>14</v>
      </c>
      <c r="E318" s="1">
        <v>3.5</v>
      </c>
    </row>
    <row r="319" spans="1:5" x14ac:dyDescent="0.45">
      <c r="A319" s="2" t="s">
        <v>11</v>
      </c>
      <c r="B319" s="2" t="s">
        <v>498</v>
      </c>
      <c r="C319" s="1">
        <v>49</v>
      </c>
      <c r="D319" s="1">
        <v>165</v>
      </c>
      <c r="E319" s="1">
        <v>0.29696969696969699</v>
      </c>
    </row>
    <row r="320" spans="1:5" x14ac:dyDescent="0.45">
      <c r="A320" s="2" t="s">
        <v>94</v>
      </c>
      <c r="B320" s="2" t="s">
        <v>497</v>
      </c>
      <c r="C320" s="1">
        <v>49</v>
      </c>
      <c r="D320" s="1">
        <v>266</v>
      </c>
      <c r="E320" s="1">
        <v>0.18421052631578946</v>
      </c>
    </row>
    <row r="321" spans="1:5" x14ac:dyDescent="0.45">
      <c r="A321" s="2" t="s">
        <v>82</v>
      </c>
      <c r="B321" s="2" t="s">
        <v>494</v>
      </c>
      <c r="C321" s="1">
        <v>49</v>
      </c>
      <c r="D321" s="1">
        <v>49</v>
      </c>
      <c r="E321" s="1">
        <v>1</v>
      </c>
    </row>
    <row r="322" spans="1:5" x14ac:dyDescent="0.45">
      <c r="A322" s="2" t="s">
        <v>331</v>
      </c>
      <c r="B322" s="2" t="s">
        <v>496</v>
      </c>
      <c r="C322" s="1">
        <v>49</v>
      </c>
      <c r="D322" s="1">
        <v>667</v>
      </c>
      <c r="E322" s="1">
        <v>7.3463268365817097E-2</v>
      </c>
    </row>
    <row r="323" spans="1:5" x14ac:dyDescent="0.45">
      <c r="A323" s="2" t="s">
        <v>215</v>
      </c>
      <c r="B323" s="2" t="s">
        <v>497</v>
      </c>
      <c r="C323" s="1">
        <v>49</v>
      </c>
      <c r="D323" s="1">
        <v>73</v>
      </c>
      <c r="E323" s="1">
        <v>0.67123287671232879</v>
      </c>
    </row>
    <row r="324" spans="1:5" x14ac:dyDescent="0.45">
      <c r="A324" s="2" t="s">
        <v>49</v>
      </c>
      <c r="B324" s="2" t="s">
        <v>495</v>
      </c>
      <c r="C324" s="1">
        <v>48</v>
      </c>
      <c r="D324" s="1">
        <v>112</v>
      </c>
      <c r="E324" s="1">
        <v>0.42857142857142855</v>
      </c>
    </row>
    <row r="325" spans="1:5" x14ac:dyDescent="0.45">
      <c r="A325" s="2" t="s">
        <v>258</v>
      </c>
      <c r="B325" s="2" t="s">
        <v>496</v>
      </c>
      <c r="C325" s="1">
        <v>48</v>
      </c>
      <c r="D325" s="1">
        <v>63</v>
      </c>
      <c r="E325" s="1">
        <v>0.76190476190476186</v>
      </c>
    </row>
    <row r="326" spans="1:5" x14ac:dyDescent="0.45">
      <c r="A326" s="2" t="s">
        <v>84</v>
      </c>
      <c r="B326" s="2" t="s">
        <v>495</v>
      </c>
      <c r="C326" s="1">
        <v>48</v>
      </c>
      <c r="D326" s="1">
        <v>97</v>
      </c>
      <c r="E326" s="1">
        <v>0.49484536082474229</v>
      </c>
    </row>
    <row r="327" spans="1:5" x14ac:dyDescent="0.45">
      <c r="A327" s="2" t="s">
        <v>99</v>
      </c>
      <c r="B327" s="2" t="s">
        <v>496</v>
      </c>
      <c r="C327" s="1">
        <v>48</v>
      </c>
      <c r="D327" s="1">
        <v>2</v>
      </c>
      <c r="E327" s="1">
        <v>24</v>
      </c>
    </row>
    <row r="328" spans="1:5" x14ac:dyDescent="0.45">
      <c r="A328" s="2" t="s">
        <v>357</v>
      </c>
      <c r="B328" s="2" t="s">
        <v>497</v>
      </c>
      <c r="C328" s="1">
        <v>48</v>
      </c>
      <c r="D328" s="1">
        <v>624</v>
      </c>
      <c r="E328" s="1">
        <v>7.6923076923076927E-2</v>
      </c>
    </row>
    <row r="329" spans="1:5" x14ac:dyDescent="0.45">
      <c r="A329" s="2" t="s">
        <v>433</v>
      </c>
      <c r="B329" s="2" t="s">
        <v>494</v>
      </c>
      <c r="C329" s="1">
        <v>48</v>
      </c>
      <c r="D329" s="1">
        <v>448</v>
      </c>
      <c r="E329" s="1">
        <v>0.10714285714285714</v>
      </c>
    </row>
    <row r="330" spans="1:5" x14ac:dyDescent="0.45">
      <c r="A330" s="2" t="s">
        <v>49</v>
      </c>
      <c r="B330" s="2" t="s">
        <v>498</v>
      </c>
      <c r="C330" s="1">
        <v>48</v>
      </c>
      <c r="D330" s="1">
        <v>434</v>
      </c>
      <c r="E330" s="1">
        <v>0.11059907834101382</v>
      </c>
    </row>
    <row r="331" spans="1:5" x14ac:dyDescent="0.45">
      <c r="A331" s="2" t="s">
        <v>53</v>
      </c>
      <c r="B331" s="2" t="s">
        <v>497</v>
      </c>
      <c r="C331" s="1">
        <v>48</v>
      </c>
      <c r="D331" s="1">
        <v>753</v>
      </c>
      <c r="E331" s="1">
        <v>6.3745019920318724E-2</v>
      </c>
    </row>
    <row r="332" spans="1:5" x14ac:dyDescent="0.45">
      <c r="A332" s="2" t="s">
        <v>63</v>
      </c>
      <c r="B332" s="2" t="s">
        <v>496</v>
      </c>
      <c r="C332" s="1">
        <v>48</v>
      </c>
      <c r="D332" s="1">
        <v>9</v>
      </c>
      <c r="E332" s="1">
        <v>5.333333333333333</v>
      </c>
    </row>
    <row r="333" spans="1:5" x14ac:dyDescent="0.45">
      <c r="A333" s="2" t="s">
        <v>258</v>
      </c>
      <c r="B333" s="2" t="s">
        <v>494</v>
      </c>
      <c r="C333" s="1">
        <v>48</v>
      </c>
      <c r="D333" s="1">
        <v>147</v>
      </c>
      <c r="E333" s="1">
        <v>0.32653061224489793</v>
      </c>
    </row>
    <row r="334" spans="1:5" x14ac:dyDescent="0.45">
      <c r="A334" s="2" t="s">
        <v>222</v>
      </c>
      <c r="B334" s="2" t="s">
        <v>498</v>
      </c>
      <c r="C334" s="1">
        <v>48</v>
      </c>
      <c r="D334" s="1">
        <v>144</v>
      </c>
      <c r="E334" s="1">
        <v>0.33333333333333331</v>
      </c>
    </row>
    <row r="335" spans="1:5" x14ac:dyDescent="0.45">
      <c r="A335" s="2" t="s">
        <v>173</v>
      </c>
      <c r="B335" s="2" t="s">
        <v>497</v>
      </c>
      <c r="C335" s="1">
        <v>47</v>
      </c>
      <c r="D335" s="1">
        <v>948</v>
      </c>
      <c r="E335" s="1">
        <v>4.9578059071729956E-2</v>
      </c>
    </row>
    <row r="336" spans="1:5" x14ac:dyDescent="0.45">
      <c r="A336" s="2" t="s">
        <v>49</v>
      </c>
      <c r="B336" s="2" t="s">
        <v>497</v>
      </c>
      <c r="C336" s="1">
        <v>47</v>
      </c>
      <c r="D336" s="1">
        <v>462</v>
      </c>
      <c r="E336" s="1">
        <v>0.10173160173160173</v>
      </c>
    </row>
    <row r="337" spans="1:5" x14ac:dyDescent="0.45">
      <c r="A337" s="2" t="s">
        <v>209</v>
      </c>
      <c r="B337" s="2" t="s">
        <v>498</v>
      </c>
      <c r="C337" s="1">
        <v>47</v>
      </c>
      <c r="D337" s="1">
        <v>378</v>
      </c>
      <c r="E337" s="1">
        <v>0.12433862433862433</v>
      </c>
    </row>
    <row r="338" spans="1:5" x14ac:dyDescent="0.45">
      <c r="A338" s="2" t="s">
        <v>158</v>
      </c>
      <c r="B338" s="2" t="s">
        <v>494</v>
      </c>
      <c r="C338" s="1">
        <v>47</v>
      </c>
      <c r="D338" s="1">
        <v>288</v>
      </c>
      <c r="E338" s="1">
        <v>0.16319444444444445</v>
      </c>
    </row>
    <row r="339" spans="1:5" x14ac:dyDescent="0.45">
      <c r="A339" s="2" t="s">
        <v>8</v>
      </c>
      <c r="B339" s="2" t="s">
        <v>498</v>
      </c>
      <c r="C339" s="1">
        <v>47</v>
      </c>
      <c r="D339" s="1">
        <v>69</v>
      </c>
      <c r="E339" s="1">
        <v>0.6811594202898551</v>
      </c>
    </row>
    <row r="340" spans="1:5" x14ac:dyDescent="0.45">
      <c r="A340" s="2" t="s">
        <v>96</v>
      </c>
      <c r="B340" s="2" t="s">
        <v>498</v>
      </c>
      <c r="C340" s="1">
        <v>47</v>
      </c>
      <c r="D340" s="1">
        <v>523</v>
      </c>
      <c r="E340" s="1">
        <v>8.9866156787762913E-2</v>
      </c>
    </row>
    <row r="341" spans="1:5" x14ac:dyDescent="0.45">
      <c r="A341" s="2" t="s">
        <v>53</v>
      </c>
      <c r="B341" s="2" t="s">
        <v>494</v>
      </c>
      <c r="C341" s="1">
        <v>47</v>
      </c>
      <c r="D341" s="1">
        <v>35</v>
      </c>
      <c r="E341" s="1">
        <v>1.342857142857143</v>
      </c>
    </row>
    <row r="342" spans="1:5" x14ac:dyDescent="0.45">
      <c r="A342" s="2" t="s">
        <v>206</v>
      </c>
      <c r="B342" s="2" t="s">
        <v>494</v>
      </c>
      <c r="C342" s="1">
        <v>47</v>
      </c>
      <c r="D342" s="1">
        <v>92</v>
      </c>
      <c r="E342" s="1">
        <v>0.51086956521739135</v>
      </c>
    </row>
    <row r="343" spans="1:5" x14ac:dyDescent="0.45">
      <c r="A343" s="2" t="s">
        <v>352</v>
      </c>
      <c r="B343" s="2" t="s">
        <v>494</v>
      </c>
      <c r="C343" s="1">
        <v>47</v>
      </c>
      <c r="D343" s="1">
        <v>540</v>
      </c>
      <c r="E343" s="1">
        <v>8.7037037037037038E-2</v>
      </c>
    </row>
    <row r="344" spans="1:5" x14ac:dyDescent="0.45">
      <c r="A344" s="2" t="s">
        <v>31</v>
      </c>
      <c r="B344" s="2" t="s">
        <v>495</v>
      </c>
      <c r="C344" s="1">
        <v>47</v>
      </c>
      <c r="D344" s="1">
        <v>119</v>
      </c>
      <c r="E344" s="1">
        <v>0.3949579831932773</v>
      </c>
    </row>
    <row r="345" spans="1:5" x14ac:dyDescent="0.45">
      <c r="A345" s="2" t="s">
        <v>89</v>
      </c>
      <c r="B345" s="2" t="s">
        <v>495</v>
      </c>
      <c r="C345" s="1">
        <v>47</v>
      </c>
      <c r="D345" s="1">
        <v>69</v>
      </c>
      <c r="E345" s="1">
        <v>0.6811594202898551</v>
      </c>
    </row>
    <row r="346" spans="1:5" x14ac:dyDescent="0.45">
      <c r="A346" s="2" t="s">
        <v>129</v>
      </c>
      <c r="B346" s="2" t="s">
        <v>495</v>
      </c>
      <c r="C346" s="1">
        <v>47</v>
      </c>
      <c r="D346" s="1">
        <v>31</v>
      </c>
      <c r="E346" s="1">
        <v>1.5161290322580645</v>
      </c>
    </row>
    <row r="347" spans="1:5" x14ac:dyDescent="0.45">
      <c r="A347" s="2" t="s">
        <v>59</v>
      </c>
      <c r="B347" s="2" t="s">
        <v>497</v>
      </c>
      <c r="C347" s="1">
        <v>47</v>
      </c>
      <c r="D347" s="1">
        <v>690</v>
      </c>
      <c r="E347" s="1">
        <v>6.8115942028985507E-2</v>
      </c>
    </row>
    <row r="348" spans="1:5" x14ac:dyDescent="0.45">
      <c r="A348" s="2" t="s">
        <v>89</v>
      </c>
      <c r="B348" s="2" t="s">
        <v>496</v>
      </c>
      <c r="C348" s="1">
        <v>47</v>
      </c>
      <c r="D348" s="1">
        <v>52</v>
      </c>
      <c r="E348" s="1">
        <v>0.90384615384615385</v>
      </c>
    </row>
    <row r="349" spans="1:5" x14ac:dyDescent="0.45">
      <c r="A349" s="2" t="s">
        <v>189</v>
      </c>
      <c r="B349" s="2" t="s">
        <v>498</v>
      </c>
      <c r="C349" s="1">
        <v>47</v>
      </c>
      <c r="D349" s="1">
        <v>154</v>
      </c>
      <c r="E349" s="1">
        <v>0.30519480519480519</v>
      </c>
    </row>
    <row r="350" spans="1:5" x14ac:dyDescent="0.45">
      <c r="A350" s="2" t="s">
        <v>94</v>
      </c>
      <c r="B350" s="2" t="s">
        <v>498</v>
      </c>
      <c r="C350" s="1">
        <v>47</v>
      </c>
      <c r="D350" s="1">
        <v>222</v>
      </c>
      <c r="E350" s="1">
        <v>0.21171171171171171</v>
      </c>
    </row>
    <row r="351" spans="1:5" x14ac:dyDescent="0.45">
      <c r="A351" s="2" t="s">
        <v>66</v>
      </c>
      <c r="B351" s="2" t="s">
        <v>496</v>
      </c>
      <c r="C351" s="1">
        <v>47</v>
      </c>
      <c r="D351" s="1">
        <v>136</v>
      </c>
      <c r="E351" s="1">
        <v>0.34558823529411764</v>
      </c>
    </row>
    <row r="352" spans="1:5" x14ac:dyDescent="0.45">
      <c r="A352" s="2" t="s">
        <v>252</v>
      </c>
      <c r="B352" s="2" t="s">
        <v>496</v>
      </c>
      <c r="C352" s="1">
        <v>47</v>
      </c>
      <c r="D352" s="1">
        <v>223</v>
      </c>
      <c r="E352" s="1">
        <v>0.21076233183856502</v>
      </c>
    </row>
    <row r="353" spans="1:5" x14ac:dyDescent="0.45">
      <c r="A353" s="2" t="s">
        <v>123</v>
      </c>
      <c r="B353" s="2" t="s">
        <v>497</v>
      </c>
      <c r="C353" s="1">
        <v>47</v>
      </c>
      <c r="D353" s="1">
        <v>62</v>
      </c>
      <c r="E353" s="1">
        <v>0.75806451612903225</v>
      </c>
    </row>
    <row r="354" spans="1:5" x14ac:dyDescent="0.45">
      <c r="A354" s="2" t="s">
        <v>242</v>
      </c>
      <c r="B354" s="2" t="s">
        <v>497</v>
      </c>
      <c r="C354" s="1">
        <v>47</v>
      </c>
      <c r="D354" s="1">
        <v>207</v>
      </c>
      <c r="E354" s="1">
        <v>0.22705314009661837</v>
      </c>
    </row>
    <row r="355" spans="1:5" x14ac:dyDescent="0.45">
      <c r="A355" s="2" t="s">
        <v>342</v>
      </c>
      <c r="B355" s="2" t="s">
        <v>497</v>
      </c>
      <c r="C355" s="1">
        <v>47</v>
      </c>
      <c r="D355" s="1">
        <v>484</v>
      </c>
      <c r="E355" s="1">
        <v>9.7107438016528921E-2</v>
      </c>
    </row>
    <row r="356" spans="1:5" x14ac:dyDescent="0.45">
      <c r="A356" s="2" t="s">
        <v>66</v>
      </c>
      <c r="B356" s="2" t="s">
        <v>498</v>
      </c>
      <c r="C356" s="1">
        <v>47</v>
      </c>
      <c r="D356" s="1">
        <v>608</v>
      </c>
      <c r="E356" s="1">
        <v>7.7302631578947373E-2</v>
      </c>
    </row>
    <row r="357" spans="1:5" x14ac:dyDescent="0.45">
      <c r="A357" s="2" t="s">
        <v>69</v>
      </c>
      <c r="B357" s="2" t="s">
        <v>494</v>
      </c>
      <c r="C357" s="1">
        <v>46</v>
      </c>
      <c r="D357" s="1">
        <v>175</v>
      </c>
      <c r="E357" s="1">
        <v>0.26285714285714284</v>
      </c>
    </row>
    <row r="358" spans="1:5" x14ac:dyDescent="0.45">
      <c r="A358" s="2" t="s">
        <v>82</v>
      </c>
      <c r="B358" s="2" t="s">
        <v>494</v>
      </c>
      <c r="C358" s="1">
        <v>46</v>
      </c>
      <c r="D358" s="1">
        <v>708</v>
      </c>
      <c r="E358" s="1">
        <v>6.4971751412429377E-2</v>
      </c>
    </row>
    <row r="359" spans="1:5" x14ac:dyDescent="0.45">
      <c r="A359" s="2" t="s">
        <v>55</v>
      </c>
      <c r="B359" s="2" t="s">
        <v>496</v>
      </c>
      <c r="C359" s="1">
        <v>46</v>
      </c>
      <c r="D359" s="1">
        <v>505</v>
      </c>
      <c r="E359" s="1">
        <v>9.1089108910891087E-2</v>
      </c>
    </row>
    <row r="360" spans="1:5" x14ac:dyDescent="0.45">
      <c r="A360" s="2" t="s">
        <v>33</v>
      </c>
      <c r="B360" s="2" t="s">
        <v>494</v>
      </c>
      <c r="C360" s="1">
        <v>46</v>
      </c>
      <c r="D360" s="1">
        <v>775</v>
      </c>
      <c r="E360" s="1">
        <v>5.9354838709677421E-2</v>
      </c>
    </row>
    <row r="361" spans="1:5" x14ac:dyDescent="0.45">
      <c r="A361" s="2" t="s">
        <v>342</v>
      </c>
      <c r="B361" s="2" t="s">
        <v>497</v>
      </c>
      <c r="C361" s="1">
        <v>46</v>
      </c>
      <c r="D361" s="1">
        <v>282</v>
      </c>
      <c r="E361" s="1">
        <v>0.16312056737588651</v>
      </c>
    </row>
    <row r="362" spans="1:5" x14ac:dyDescent="0.45">
      <c r="A362" s="2" t="s">
        <v>37</v>
      </c>
      <c r="B362" s="2" t="s">
        <v>495</v>
      </c>
      <c r="C362" s="1">
        <v>46</v>
      </c>
      <c r="D362" s="1">
        <v>52</v>
      </c>
      <c r="E362" s="1">
        <v>0.88461538461538458</v>
      </c>
    </row>
    <row r="363" spans="1:5" x14ac:dyDescent="0.45">
      <c r="A363" s="2" t="s">
        <v>143</v>
      </c>
      <c r="B363" s="2" t="s">
        <v>495</v>
      </c>
      <c r="C363" s="1">
        <v>46</v>
      </c>
      <c r="D363" s="1">
        <v>215</v>
      </c>
      <c r="E363" s="1">
        <v>0.21395348837209302</v>
      </c>
    </row>
    <row r="364" spans="1:5" x14ac:dyDescent="0.45">
      <c r="A364" s="2" t="s">
        <v>374</v>
      </c>
      <c r="B364" s="2" t="s">
        <v>495</v>
      </c>
      <c r="C364" s="1">
        <v>46</v>
      </c>
      <c r="D364" s="1">
        <v>546</v>
      </c>
      <c r="E364" s="1">
        <v>8.4249084249084255E-2</v>
      </c>
    </row>
    <row r="365" spans="1:5" x14ac:dyDescent="0.45">
      <c r="A365" s="2" t="s">
        <v>16</v>
      </c>
      <c r="B365" s="2" t="s">
        <v>498</v>
      </c>
      <c r="C365" s="1">
        <v>46</v>
      </c>
      <c r="D365" s="1">
        <v>701</v>
      </c>
      <c r="E365" s="1">
        <v>6.5620542082738945E-2</v>
      </c>
    </row>
    <row r="366" spans="1:5" x14ac:dyDescent="0.45">
      <c r="A366" s="2" t="s">
        <v>121</v>
      </c>
      <c r="B366" s="2" t="s">
        <v>495</v>
      </c>
      <c r="C366" s="1">
        <v>46</v>
      </c>
      <c r="D366" s="1">
        <v>633</v>
      </c>
      <c r="E366" s="1">
        <v>7.266982622432859E-2</v>
      </c>
    </row>
    <row r="367" spans="1:5" x14ac:dyDescent="0.45">
      <c r="A367" s="2" t="s">
        <v>57</v>
      </c>
      <c r="B367" s="2" t="s">
        <v>495</v>
      </c>
      <c r="C367" s="1">
        <v>46</v>
      </c>
      <c r="D367" s="1">
        <v>177</v>
      </c>
      <c r="E367" s="1">
        <v>0.25988700564971751</v>
      </c>
    </row>
    <row r="368" spans="1:5" x14ac:dyDescent="0.45">
      <c r="A368" s="2" t="s">
        <v>433</v>
      </c>
      <c r="B368" s="2" t="s">
        <v>497</v>
      </c>
      <c r="C368" s="1">
        <v>45</v>
      </c>
      <c r="D368" s="1">
        <v>201</v>
      </c>
      <c r="E368" s="1">
        <v>0.22388059701492538</v>
      </c>
    </row>
    <row r="369" spans="1:5" x14ac:dyDescent="0.45">
      <c r="A369" s="2" t="s">
        <v>156</v>
      </c>
      <c r="B369" s="2" t="s">
        <v>494</v>
      </c>
      <c r="C369" s="1">
        <v>45</v>
      </c>
      <c r="D369" s="1">
        <v>63</v>
      </c>
      <c r="E369" s="1">
        <v>0.7142857142857143</v>
      </c>
    </row>
    <row r="370" spans="1:5" x14ac:dyDescent="0.45">
      <c r="A370" s="2" t="s">
        <v>127</v>
      </c>
      <c r="B370" s="2" t="s">
        <v>494</v>
      </c>
      <c r="C370" s="1">
        <v>45</v>
      </c>
      <c r="D370" s="1">
        <v>70</v>
      </c>
      <c r="E370" s="1">
        <v>0.6428571428571429</v>
      </c>
    </row>
    <row r="371" spans="1:5" x14ac:dyDescent="0.45">
      <c r="A371" s="2" t="s">
        <v>39</v>
      </c>
      <c r="B371" s="2" t="s">
        <v>495</v>
      </c>
      <c r="C371" s="1">
        <v>45</v>
      </c>
      <c r="D371" s="1">
        <v>152</v>
      </c>
      <c r="E371" s="1">
        <v>0.29605263157894735</v>
      </c>
    </row>
    <row r="372" spans="1:5" x14ac:dyDescent="0.45">
      <c r="A372" s="2" t="s">
        <v>129</v>
      </c>
      <c r="B372" s="2" t="s">
        <v>495</v>
      </c>
      <c r="C372" s="1">
        <v>45</v>
      </c>
      <c r="D372" s="1">
        <v>909</v>
      </c>
      <c r="E372" s="1">
        <v>4.9504950495049507E-2</v>
      </c>
    </row>
    <row r="373" spans="1:5" x14ac:dyDescent="0.45">
      <c r="A373" s="2" t="s">
        <v>102</v>
      </c>
      <c r="B373" s="2" t="s">
        <v>496</v>
      </c>
      <c r="C373" s="1">
        <v>45</v>
      </c>
      <c r="D373" s="1">
        <v>52</v>
      </c>
      <c r="E373" s="1">
        <v>0.86538461538461542</v>
      </c>
    </row>
    <row r="374" spans="1:5" x14ac:dyDescent="0.45">
      <c r="A374" s="2" t="s">
        <v>27</v>
      </c>
      <c r="B374" s="2" t="s">
        <v>495</v>
      </c>
      <c r="C374" s="1">
        <v>45</v>
      </c>
      <c r="D374" s="1">
        <v>304</v>
      </c>
      <c r="E374" s="1">
        <v>0.14802631578947367</v>
      </c>
    </row>
    <row r="375" spans="1:5" x14ac:dyDescent="0.45">
      <c r="A375" s="2" t="s">
        <v>89</v>
      </c>
      <c r="B375" s="2" t="s">
        <v>496</v>
      </c>
      <c r="C375" s="1">
        <v>45</v>
      </c>
      <c r="D375" s="1">
        <v>162</v>
      </c>
      <c r="E375" s="1">
        <v>0.27777777777777779</v>
      </c>
    </row>
    <row r="376" spans="1:5" x14ac:dyDescent="0.45">
      <c r="A376" s="2" t="s">
        <v>31</v>
      </c>
      <c r="B376" s="2" t="s">
        <v>494</v>
      </c>
      <c r="C376" s="1">
        <v>45</v>
      </c>
      <c r="D376" s="1">
        <v>137</v>
      </c>
      <c r="E376" s="1">
        <v>0.32846715328467152</v>
      </c>
    </row>
    <row r="377" spans="1:5" x14ac:dyDescent="0.45">
      <c r="A377" s="2" t="s">
        <v>277</v>
      </c>
      <c r="B377" s="2" t="s">
        <v>497</v>
      </c>
      <c r="C377" s="1">
        <v>45</v>
      </c>
      <c r="D377" s="1">
        <v>51</v>
      </c>
      <c r="E377" s="1">
        <v>0.88235294117647056</v>
      </c>
    </row>
    <row r="378" spans="1:5" x14ac:dyDescent="0.45">
      <c r="A378" s="2" t="s">
        <v>272</v>
      </c>
      <c r="B378" s="2" t="s">
        <v>495</v>
      </c>
      <c r="C378" s="1">
        <v>45</v>
      </c>
      <c r="D378" s="1">
        <v>40</v>
      </c>
      <c r="E378" s="1">
        <v>1.125</v>
      </c>
    </row>
    <row r="379" spans="1:5" x14ac:dyDescent="0.45">
      <c r="A379" s="2" t="s">
        <v>242</v>
      </c>
      <c r="B379" s="2" t="s">
        <v>498</v>
      </c>
      <c r="C379" s="1">
        <v>45</v>
      </c>
      <c r="D379" s="1">
        <v>82</v>
      </c>
      <c r="E379" s="1">
        <v>0.54878048780487809</v>
      </c>
    </row>
    <row r="380" spans="1:5" x14ac:dyDescent="0.45">
      <c r="A380" s="2" t="s">
        <v>63</v>
      </c>
      <c r="B380" s="2" t="s">
        <v>495</v>
      </c>
      <c r="C380" s="1">
        <v>45</v>
      </c>
      <c r="D380" s="1">
        <v>252</v>
      </c>
      <c r="E380" s="1">
        <v>0.17857142857142858</v>
      </c>
    </row>
    <row r="381" spans="1:5" x14ac:dyDescent="0.45">
      <c r="A381" s="2" t="s">
        <v>75</v>
      </c>
      <c r="B381" s="2" t="s">
        <v>498</v>
      </c>
      <c r="C381" s="1">
        <v>45</v>
      </c>
      <c r="D381" s="1">
        <v>51</v>
      </c>
      <c r="E381" s="1">
        <v>0.88235294117647056</v>
      </c>
    </row>
    <row r="382" spans="1:5" x14ac:dyDescent="0.45">
      <c r="A382" s="2" t="s">
        <v>189</v>
      </c>
      <c r="B382" s="2" t="s">
        <v>495</v>
      </c>
      <c r="C382" s="1">
        <v>45</v>
      </c>
      <c r="D382" s="1">
        <v>106</v>
      </c>
      <c r="E382" s="1">
        <v>0.42452830188679247</v>
      </c>
    </row>
    <row r="383" spans="1:5" x14ac:dyDescent="0.45">
      <c r="A383" s="2" t="s">
        <v>96</v>
      </c>
      <c r="B383" s="2" t="s">
        <v>498</v>
      </c>
      <c r="C383" s="1">
        <v>45</v>
      </c>
      <c r="D383" s="1">
        <v>71</v>
      </c>
      <c r="E383" s="1">
        <v>0.63380281690140849</v>
      </c>
    </row>
    <row r="384" spans="1:5" x14ac:dyDescent="0.45">
      <c r="A384" s="2" t="s">
        <v>108</v>
      </c>
      <c r="B384" s="2" t="s">
        <v>496</v>
      </c>
      <c r="C384" s="1">
        <v>44</v>
      </c>
      <c r="D384" s="1">
        <v>61</v>
      </c>
      <c r="E384" s="1">
        <v>0.72131147540983609</v>
      </c>
    </row>
    <row r="385" spans="1:5" x14ac:dyDescent="0.45">
      <c r="A385" s="2" t="s">
        <v>162</v>
      </c>
      <c r="B385" s="2" t="s">
        <v>497</v>
      </c>
      <c r="C385" s="1">
        <v>44</v>
      </c>
      <c r="D385" s="1">
        <v>392</v>
      </c>
      <c r="E385" s="1">
        <v>0.11224489795918367</v>
      </c>
    </row>
    <row r="386" spans="1:5" x14ac:dyDescent="0.45">
      <c r="A386" s="2" t="s">
        <v>137</v>
      </c>
      <c r="B386" s="2" t="s">
        <v>498</v>
      </c>
      <c r="C386" s="1">
        <v>44</v>
      </c>
      <c r="D386" s="1">
        <v>306</v>
      </c>
      <c r="E386" s="1">
        <v>0.1437908496732026</v>
      </c>
    </row>
    <row r="387" spans="1:5" x14ac:dyDescent="0.45">
      <c r="A387" s="2" t="s">
        <v>82</v>
      </c>
      <c r="B387" s="2" t="s">
        <v>495</v>
      </c>
      <c r="C387" s="1">
        <v>44</v>
      </c>
      <c r="D387" s="1">
        <v>326</v>
      </c>
      <c r="E387" s="1">
        <v>0.13496932515337423</v>
      </c>
    </row>
    <row r="388" spans="1:5" x14ac:dyDescent="0.45">
      <c r="A388" s="2" t="s">
        <v>289</v>
      </c>
      <c r="B388" s="2" t="s">
        <v>494</v>
      </c>
      <c r="C388" s="1">
        <v>44</v>
      </c>
      <c r="D388" s="1">
        <v>41</v>
      </c>
      <c r="E388" s="1">
        <v>1.0731707317073171</v>
      </c>
    </row>
    <row r="389" spans="1:5" x14ac:dyDescent="0.45">
      <c r="A389" s="2" t="s">
        <v>23</v>
      </c>
      <c r="B389" s="2" t="s">
        <v>497</v>
      </c>
      <c r="C389" s="1">
        <v>44</v>
      </c>
      <c r="D389" s="1">
        <v>419</v>
      </c>
      <c r="E389" s="1">
        <v>0.10501193317422435</v>
      </c>
    </row>
    <row r="390" spans="1:5" x14ac:dyDescent="0.45">
      <c r="A390" s="2" t="s">
        <v>16</v>
      </c>
      <c r="B390" s="2" t="s">
        <v>496</v>
      </c>
      <c r="C390" s="1">
        <v>44</v>
      </c>
      <c r="D390" s="1">
        <v>177</v>
      </c>
      <c r="E390" s="1">
        <v>0.24858757062146894</v>
      </c>
    </row>
    <row r="391" spans="1:5" x14ac:dyDescent="0.45">
      <c r="A391" s="2" t="s">
        <v>29</v>
      </c>
      <c r="B391" s="2" t="s">
        <v>494</v>
      </c>
      <c r="C391" s="1">
        <v>44</v>
      </c>
      <c r="D391" s="1">
        <v>12</v>
      </c>
      <c r="E391" s="1">
        <v>3.6666666666666665</v>
      </c>
    </row>
    <row r="392" spans="1:5" x14ac:dyDescent="0.45">
      <c r="A392" s="2" t="s">
        <v>63</v>
      </c>
      <c r="B392" s="2" t="s">
        <v>496</v>
      </c>
      <c r="C392" s="1">
        <v>44</v>
      </c>
      <c r="D392" s="1">
        <v>264</v>
      </c>
      <c r="E392" s="1">
        <v>0.16666666666666666</v>
      </c>
    </row>
    <row r="393" spans="1:5" x14ac:dyDescent="0.45">
      <c r="A393" s="2" t="s">
        <v>299</v>
      </c>
      <c r="B393" s="2" t="s">
        <v>494</v>
      </c>
      <c r="C393" s="1">
        <v>43</v>
      </c>
      <c r="D393" s="1">
        <v>120</v>
      </c>
      <c r="E393" s="1">
        <v>0.35833333333333334</v>
      </c>
    </row>
    <row r="394" spans="1:5" x14ac:dyDescent="0.45">
      <c r="A394" s="2" t="s">
        <v>91</v>
      </c>
      <c r="B394" s="2" t="s">
        <v>494</v>
      </c>
      <c r="C394" s="1">
        <v>43</v>
      </c>
      <c r="D394" s="1">
        <v>27</v>
      </c>
      <c r="E394" s="1">
        <v>1.5925925925925926</v>
      </c>
    </row>
    <row r="395" spans="1:5" x14ac:dyDescent="0.45">
      <c r="A395" s="2" t="s">
        <v>143</v>
      </c>
      <c r="B395" s="2" t="s">
        <v>495</v>
      </c>
      <c r="C395" s="1">
        <v>43</v>
      </c>
      <c r="D395" s="1">
        <v>183</v>
      </c>
      <c r="E395" s="1">
        <v>0.23497267759562843</v>
      </c>
    </row>
    <row r="396" spans="1:5" x14ac:dyDescent="0.45">
      <c r="A396" s="2" t="s">
        <v>39</v>
      </c>
      <c r="B396" s="2" t="s">
        <v>498</v>
      </c>
      <c r="C396" s="1">
        <v>43</v>
      </c>
      <c r="D396" s="1">
        <v>63</v>
      </c>
      <c r="E396" s="1">
        <v>0.68253968253968256</v>
      </c>
    </row>
    <row r="397" spans="1:5" x14ac:dyDescent="0.45">
      <c r="A397" s="2" t="s">
        <v>51</v>
      </c>
      <c r="B397" s="2" t="s">
        <v>495</v>
      </c>
      <c r="C397" s="1">
        <v>43</v>
      </c>
      <c r="D397" s="1">
        <v>165</v>
      </c>
      <c r="E397" s="1">
        <v>0.26060606060606062</v>
      </c>
    </row>
    <row r="398" spans="1:5" x14ac:dyDescent="0.45">
      <c r="A398" s="2" t="s">
        <v>11</v>
      </c>
      <c r="B398" s="2" t="s">
        <v>498</v>
      </c>
      <c r="C398" s="1">
        <v>43</v>
      </c>
      <c r="D398" s="1">
        <v>227</v>
      </c>
      <c r="E398" s="1">
        <v>0.1894273127753304</v>
      </c>
    </row>
    <row r="399" spans="1:5" x14ac:dyDescent="0.45">
      <c r="A399" s="2" t="s">
        <v>108</v>
      </c>
      <c r="B399" s="2" t="s">
        <v>497</v>
      </c>
      <c r="C399" s="1">
        <v>43</v>
      </c>
      <c r="D399" s="1">
        <v>53</v>
      </c>
      <c r="E399" s="1">
        <v>0.81132075471698117</v>
      </c>
    </row>
    <row r="400" spans="1:5" x14ac:dyDescent="0.45">
      <c r="A400" s="2" t="s">
        <v>79</v>
      </c>
      <c r="B400" s="2" t="s">
        <v>494</v>
      </c>
      <c r="C400" s="1">
        <v>43</v>
      </c>
      <c r="D400" s="1">
        <v>589</v>
      </c>
      <c r="E400" s="1">
        <v>7.3005093378607805E-2</v>
      </c>
    </row>
    <row r="401" spans="1:5" x14ac:dyDescent="0.45">
      <c r="A401" s="2" t="s">
        <v>91</v>
      </c>
      <c r="B401" s="2" t="s">
        <v>498</v>
      </c>
      <c r="C401" s="1">
        <v>43</v>
      </c>
      <c r="D401" s="1">
        <v>263</v>
      </c>
      <c r="E401" s="1">
        <v>0.1634980988593156</v>
      </c>
    </row>
    <row r="402" spans="1:5" x14ac:dyDescent="0.45">
      <c r="A402" s="2" t="s">
        <v>258</v>
      </c>
      <c r="B402" s="2" t="s">
        <v>498</v>
      </c>
      <c r="C402" s="1">
        <v>43</v>
      </c>
      <c r="D402" s="1">
        <v>461</v>
      </c>
      <c r="E402" s="1">
        <v>9.3275488069414311E-2</v>
      </c>
    </row>
    <row r="403" spans="1:5" x14ac:dyDescent="0.45">
      <c r="A403" s="2" t="s">
        <v>357</v>
      </c>
      <c r="B403" s="2" t="s">
        <v>496</v>
      </c>
      <c r="C403" s="1">
        <v>43</v>
      </c>
      <c r="D403" s="1">
        <v>132</v>
      </c>
      <c r="E403" s="1">
        <v>0.32575757575757575</v>
      </c>
    </row>
    <row r="404" spans="1:5" x14ac:dyDescent="0.45">
      <c r="A404" s="2" t="s">
        <v>21</v>
      </c>
      <c r="B404" s="2" t="s">
        <v>498</v>
      </c>
      <c r="C404" s="1">
        <v>43</v>
      </c>
      <c r="D404" s="1">
        <v>8</v>
      </c>
      <c r="E404" s="1">
        <v>5.375</v>
      </c>
    </row>
    <row r="405" spans="1:5" x14ac:dyDescent="0.45">
      <c r="A405" s="2" t="s">
        <v>16</v>
      </c>
      <c r="B405" s="2" t="s">
        <v>494</v>
      </c>
      <c r="C405" s="1">
        <v>43</v>
      </c>
      <c r="D405" s="1">
        <v>128</v>
      </c>
      <c r="E405" s="1">
        <v>0.3359375</v>
      </c>
    </row>
    <row r="406" spans="1:5" x14ac:dyDescent="0.45">
      <c r="A406" s="2" t="s">
        <v>219</v>
      </c>
      <c r="B406" s="2" t="s">
        <v>498</v>
      </c>
      <c r="C406" s="1">
        <v>43</v>
      </c>
      <c r="D406" s="1">
        <v>104</v>
      </c>
      <c r="E406" s="1">
        <v>0.41346153846153844</v>
      </c>
    </row>
    <row r="407" spans="1:5" x14ac:dyDescent="0.45">
      <c r="A407" s="2" t="s">
        <v>41</v>
      </c>
      <c r="B407" s="2" t="s">
        <v>494</v>
      </c>
      <c r="C407" s="1">
        <v>43</v>
      </c>
      <c r="D407" s="1">
        <v>9</v>
      </c>
      <c r="E407" s="1">
        <v>4.7777777777777777</v>
      </c>
    </row>
    <row r="408" spans="1:5" x14ac:dyDescent="0.45">
      <c r="A408" s="2" t="s">
        <v>192</v>
      </c>
      <c r="B408" s="2" t="s">
        <v>498</v>
      </c>
      <c r="C408" s="1">
        <v>43</v>
      </c>
      <c r="D408" s="1">
        <v>104</v>
      </c>
      <c r="E408" s="1">
        <v>0.41346153846153844</v>
      </c>
    </row>
    <row r="409" spans="1:5" x14ac:dyDescent="0.45">
      <c r="A409" s="2" t="s">
        <v>238</v>
      </c>
      <c r="B409" s="2" t="s">
        <v>494</v>
      </c>
      <c r="C409" s="1">
        <v>43</v>
      </c>
      <c r="D409" s="1">
        <v>163</v>
      </c>
      <c r="E409" s="1">
        <v>0.26380368098159507</v>
      </c>
    </row>
    <row r="410" spans="1:5" x14ac:dyDescent="0.45">
      <c r="A410" s="2" t="s">
        <v>206</v>
      </c>
      <c r="B410" s="2" t="s">
        <v>496</v>
      </c>
      <c r="C410" s="1">
        <v>43</v>
      </c>
      <c r="D410" s="1">
        <v>163</v>
      </c>
      <c r="E410" s="1">
        <v>0.26380368098159507</v>
      </c>
    </row>
    <row r="411" spans="1:5" x14ac:dyDescent="0.45">
      <c r="A411" s="2" t="s">
        <v>77</v>
      </c>
      <c r="B411" s="2" t="s">
        <v>496</v>
      </c>
      <c r="C411" s="1">
        <v>43</v>
      </c>
      <c r="D411" s="1">
        <v>186</v>
      </c>
      <c r="E411" s="1">
        <v>0.23118279569892472</v>
      </c>
    </row>
    <row r="412" spans="1:5" x14ac:dyDescent="0.45">
      <c r="A412" s="2" t="s">
        <v>57</v>
      </c>
      <c r="B412" s="2" t="s">
        <v>498</v>
      </c>
      <c r="C412" s="1">
        <v>43</v>
      </c>
      <c r="D412" s="1">
        <v>784</v>
      </c>
      <c r="E412" s="1">
        <v>5.4846938775510203E-2</v>
      </c>
    </row>
    <row r="413" spans="1:5" x14ac:dyDescent="0.45">
      <c r="A413" s="2" t="s">
        <v>63</v>
      </c>
      <c r="B413" s="2" t="s">
        <v>496</v>
      </c>
      <c r="C413" s="1">
        <v>43</v>
      </c>
      <c r="D413" s="1">
        <v>494</v>
      </c>
      <c r="E413" s="1">
        <v>8.7044534412955468E-2</v>
      </c>
    </row>
    <row r="414" spans="1:5" x14ac:dyDescent="0.45">
      <c r="A414" s="2" t="s">
        <v>280</v>
      </c>
      <c r="B414" s="2" t="s">
        <v>494</v>
      </c>
      <c r="C414" s="1">
        <v>42</v>
      </c>
      <c r="D414" s="1">
        <v>497</v>
      </c>
      <c r="E414" s="1">
        <v>8.4507042253521125E-2</v>
      </c>
    </row>
    <row r="415" spans="1:5" x14ac:dyDescent="0.45">
      <c r="A415" s="2" t="s">
        <v>299</v>
      </c>
      <c r="B415" s="2" t="s">
        <v>495</v>
      </c>
      <c r="C415" s="1">
        <v>42</v>
      </c>
      <c r="D415" s="1">
        <v>637</v>
      </c>
      <c r="E415" s="1">
        <v>6.5934065934065936E-2</v>
      </c>
    </row>
    <row r="416" spans="1:5" x14ac:dyDescent="0.45">
      <c r="A416" s="2" t="s">
        <v>29</v>
      </c>
      <c r="B416" s="2" t="s">
        <v>498</v>
      </c>
      <c r="C416" s="1">
        <v>42</v>
      </c>
      <c r="D416" s="1">
        <v>270</v>
      </c>
      <c r="E416" s="1">
        <v>0.15555555555555556</v>
      </c>
    </row>
    <row r="417" spans="1:5" x14ac:dyDescent="0.45">
      <c r="A417" s="2" t="s">
        <v>25</v>
      </c>
      <c r="B417" s="2" t="s">
        <v>496</v>
      </c>
      <c r="C417" s="1">
        <v>42</v>
      </c>
      <c r="D417" s="1">
        <v>241</v>
      </c>
      <c r="E417" s="1">
        <v>0.17427385892116182</v>
      </c>
    </row>
    <row r="418" spans="1:5" x14ac:dyDescent="0.45">
      <c r="A418" s="2" t="s">
        <v>77</v>
      </c>
      <c r="B418" s="2" t="s">
        <v>494</v>
      </c>
      <c r="C418" s="1">
        <v>42</v>
      </c>
      <c r="D418" s="1">
        <v>136</v>
      </c>
      <c r="E418" s="1">
        <v>0.30882352941176472</v>
      </c>
    </row>
    <row r="419" spans="1:5" x14ac:dyDescent="0.45">
      <c r="A419" s="2" t="s">
        <v>27</v>
      </c>
      <c r="B419" s="2" t="s">
        <v>494</v>
      </c>
      <c r="C419" s="1">
        <v>42</v>
      </c>
      <c r="D419" s="1">
        <v>113</v>
      </c>
      <c r="E419" s="1">
        <v>0.37168141592920356</v>
      </c>
    </row>
    <row r="420" spans="1:5" x14ac:dyDescent="0.45">
      <c r="A420" s="2" t="s">
        <v>108</v>
      </c>
      <c r="B420" s="2" t="s">
        <v>498</v>
      </c>
      <c r="C420" s="1">
        <v>42</v>
      </c>
      <c r="D420" s="1">
        <v>119</v>
      </c>
      <c r="E420" s="1">
        <v>0.35294117647058826</v>
      </c>
    </row>
    <row r="421" spans="1:5" x14ac:dyDescent="0.45">
      <c r="A421" s="2" t="s">
        <v>339</v>
      </c>
      <c r="B421" s="2" t="s">
        <v>494</v>
      </c>
      <c r="C421" s="1">
        <v>42</v>
      </c>
      <c r="D421" s="1">
        <v>25</v>
      </c>
      <c r="E421" s="1">
        <v>1.68</v>
      </c>
    </row>
    <row r="422" spans="1:5" x14ac:dyDescent="0.45">
      <c r="A422" s="2" t="s">
        <v>23</v>
      </c>
      <c r="B422" s="2" t="s">
        <v>496</v>
      </c>
      <c r="C422" s="1">
        <v>42</v>
      </c>
      <c r="D422" s="1">
        <v>571</v>
      </c>
      <c r="E422" s="1">
        <v>7.3555166374781086E-2</v>
      </c>
    </row>
    <row r="423" spans="1:5" x14ac:dyDescent="0.45">
      <c r="A423" s="2" t="s">
        <v>84</v>
      </c>
      <c r="B423" s="2" t="s">
        <v>498</v>
      </c>
      <c r="C423" s="1">
        <v>42</v>
      </c>
      <c r="D423" s="1">
        <v>515</v>
      </c>
      <c r="E423" s="1">
        <v>8.155339805825243E-2</v>
      </c>
    </row>
    <row r="424" spans="1:5" x14ac:dyDescent="0.45">
      <c r="A424" s="2" t="s">
        <v>104</v>
      </c>
      <c r="B424" s="2" t="s">
        <v>498</v>
      </c>
      <c r="C424" s="1">
        <v>42</v>
      </c>
      <c r="D424" s="1">
        <v>563</v>
      </c>
      <c r="E424" s="1">
        <v>7.460035523978685E-2</v>
      </c>
    </row>
    <row r="425" spans="1:5" x14ac:dyDescent="0.45">
      <c r="A425" s="2" t="s">
        <v>94</v>
      </c>
      <c r="B425" s="2" t="s">
        <v>498</v>
      </c>
      <c r="C425" s="1">
        <v>42</v>
      </c>
      <c r="D425" s="1">
        <v>399</v>
      </c>
      <c r="E425" s="1">
        <v>0.10526315789473684</v>
      </c>
    </row>
    <row r="426" spans="1:5" x14ac:dyDescent="0.45">
      <c r="A426" s="2" t="s">
        <v>280</v>
      </c>
      <c r="B426" s="2" t="s">
        <v>496</v>
      </c>
      <c r="C426" s="1">
        <v>42</v>
      </c>
      <c r="D426" s="1">
        <v>541</v>
      </c>
      <c r="E426" s="1">
        <v>7.763401109057301E-2</v>
      </c>
    </row>
    <row r="427" spans="1:5" x14ac:dyDescent="0.45">
      <c r="A427" s="2" t="s">
        <v>66</v>
      </c>
      <c r="B427" s="2" t="s">
        <v>495</v>
      </c>
      <c r="C427" s="1">
        <v>42</v>
      </c>
      <c r="D427" s="1">
        <v>27</v>
      </c>
      <c r="E427" s="1">
        <v>1.5555555555555556</v>
      </c>
    </row>
    <row r="428" spans="1:5" x14ac:dyDescent="0.45">
      <c r="A428" s="2" t="s">
        <v>137</v>
      </c>
      <c r="B428" s="2" t="s">
        <v>498</v>
      </c>
      <c r="C428" s="1">
        <v>42</v>
      </c>
      <c r="D428" s="1">
        <v>264</v>
      </c>
      <c r="E428" s="1">
        <v>0.15909090909090909</v>
      </c>
    </row>
    <row r="429" spans="1:5" x14ac:dyDescent="0.45">
      <c r="A429" s="2" t="s">
        <v>99</v>
      </c>
      <c r="B429" s="2" t="s">
        <v>496</v>
      </c>
      <c r="C429" s="1">
        <v>42</v>
      </c>
      <c r="D429" s="1">
        <v>444</v>
      </c>
      <c r="E429" s="1">
        <v>9.45945945945946E-2</v>
      </c>
    </row>
    <row r="430" spans="1:5" x14ac:dyDescent="0.45">
      <c r="A430" s="2" t="s">
        <v>233</v>
      </c>
      <c r="B430" s="2" t="s">
        <v>497</v>
      </c>
      <c r="C430" s="1">
        <v>41</v>
      </c>
      <c r="D430" s="1">
        <v>284</v>
      </c>
      <c r="E430" s="1">
        <v>0.14436619718309859</v>
      </c>
    </row>
    <row r="431" spans="1:5" x14ac:dyDescent="0.45">
      <c r="A431" s="2" t="s">
        <v>123</v>
      </c>
      <c r="B431" s="2" t="s">
        <v>496</v>
      </c>
      <c r="C431" s="1">
        <v>41</v>
      </c>
      <c r="D431" s="1">
        <v>273</v>
      </c>
      <c r="E431" s="1">
        <v>0.15018315018315018</v>
      </c>
    </row>
    <row r="432" spans="1:5" x14ac:dyDescent="0.45">
      <c r="A432" s="2" t="s">
        <v>47</v>
      </c>
      <c r="B432" s="2" t="s">
        <v>497</v>
      </c>
      <c r="C432" s="1">
        <v>41</v>
      </c>
      <c r="D432" s="1">
        <v>234</v>
      </c>
      <c r="E432" s="1">
        <v>0.1752136752136752</v>
      </c>
    </row>
    <row r="433" spans="1:5" x14ac:dyDescent="0.45">
      <c r="A433" s="2" t="s">
        <v>31</v>
      </c>
      <c r="B433" s="2" t="s">
        <v>494</v>
      </c>
      <c r="C433" s="1">
        <v>41</v>
      </c>
      <c r="D433" s="1">
        <v>108</v>
      </c>
      <c r="E433" s="1">
        <v>0.37962962962962965</v>
      </c>
    </row>
    <row r="434" spans="1:5" x14ac:dyDescent="0.45">
      <c r="A434" s="2" t="s">
        <v>41</v>
      </c>
      <c r="B434" s="2" t="s">
        <v>496</v>
      </c>
      <c r="C434" s="1">
        <v>41</v>
      </c>
      <c r="D434" s="1">
        <v>486</v>
      </c>
      <c r="E434" s="1">
        <v>8.4362139917695478E-2</v>
      </c>
    </row>
    <row r="435" spans="1:5" x14ac:dyDescent="0.45">
      <c r="A435" s="2" t="s">
        <v>272</v>
      </c>
      <c r="B435" s="2" t="s">
        <v>495</v>
      </c>
      <c r="C435" s="1">
        <v>41</v>
      </c>
      <c r="D435" s="1">
        <v>135</v>
      </c>
      <c r="E435" s="1">
        <v>0.3037037037037037</v>
      </c>
    </row>
    <row r="436" spans="1:5" x14ac:dyDescent="0.45">
      <c r="A436" s="2" t="s">
        <v>108</v>
      </c>
      <c r="B436" s="2" t="s">
        <v>497</v>
      </c>
      <c r="C436" s="1">
        <v>41</v>
      </c>
      <c r="D436" s="1">
        <v>697</v>
      </c>
      <c r="E436" s="1">
        <v>5.8823529411764705E-2</v>
      </c>
    </row>
    <row r="437" spans="1:5" x14ac:dyDescent="0.45">
      <c r="A437" s="2" t="s">
        <v>53</v>
      </c>
      <c r="B437" s="2" t="s">
        <v>498</v>
      </c>
      <c r="C437" s="1">
        <v>41</v>
      </c>
      <c r="D437" s="1">
        <v>224</v>
      </c>
      <c r="E437" s="1">
        <v>0.18303571428571427</v>
      </c>
    </row>
    <row r="438" spans="1:5" x14ac:dyDescent="0.45">
      <c r="A438" s="2" t="s">
        <v>11</v>
      </c>
      <c r="B438" s="2" t="s">
        <v>496</v>
      </c>
      <c r="C438" s="1">
        <v>41</v>
      </c>
      <c r="D438" s="1">
        <v>339</v>
      </c>
      <c r="E438" s="1">
        <v>0.12094395280235988</v>
      </c>
    </row>
    <row r="439" spans="1:5" x14ac:dyDescent="0.45">
      <c r="A439" s="2" t="s">
        <v>66</v>
      </c>
      <c r="B439" s="2" t="s">
        <v>494</v>
      </c>
      <c r="C439" s="1">
        <v>41</v>
      </c>
      <c r="D439" s="1">
        <v>246</v>
      </c>
      <c r="E439" s="1">
        <v>0.16666666666666666</v>
      </c>
    </row>
    <row r="440" spans="1:5" x14ac:dyDescent="0.45">
      <c r="A440" s="2" t="s">
        <v>173</v>
      </c>
      <c r="B440" s="2" t="s">
        <v>495</v>
      </c>
      <c r="C440" s="1">
        <v>41</v>
      </c>
      <c r="D440" s="1">
        <v>936</v>
      </c>
      <c r="E440" s="1">
        <v>4.38034188034188E-2</v>
      </c>
    </row>
    <row r="441" spans="1:5" x14ac:dyDescent="0.45">
      <c r="A441" s="2" t="s">
        <v>123</v>
      </c>
      <c r="B441" s="2" t="s">
        <v>494</v>
      </c>
      <c r="C441" s="1">
        <v>41</v>
      </c>
      <c r="D441" s="1">
        <v>55</v>
      </c>
      <c r="E441" s="1">
        <v>0.74545454545454548</v>
      </c>
    </row>
    <row r="442" spans="1:5" x14ac:dyDescent="0.45">
      <c r="A442" s="2" t="s">
        <v>31</v>
      </c>
      <c r="B442" s="2" t="s">
        <v>498</v>
      </c>
      <c r="C442" s="1">
        <v>41</v>
      </c>
      <c r="D442" s="1">
        <v>258</v>
      </c>
      <c r="E442" s="1">
        <v>0.15891472868217055</v>
      </c>
    </row>
    <row r="443" spans="1:5" x14ac:dyDescent="0.45">
      <c r="A443" s="2" t="s">
        <v>192</v>
      </c>
      <c r="B443" s="2" t="s">
        <v>498</v>
      </c>
      <c r="C443" s="1">
        <v>40</v>
      </c>
      <c r="D443" s="1">
        <v>834</v>
      </c>
      <c r="E443" s="1">
        <v>4.7961630695443645E-2</v>
      </c>
    </row>
    <row r="444" spans="1:5" x14ac:dyDescent="0.45">
      <c r="A444" s="2" t="s">
        <v>242</v>
      </c>
      <c r="B444" s="2" t="s">
        <v>498</v>
      </c>
      <c r="C444" s="1">
        <v>40</v>
      </c>
      <c r="D444" s="1">
        <v>603</v>
      </c>
      <c r="E444" s="1">
        <v>6.633499170812604E-2</v>
      </c>
    </row>
    <row r="445" spans="1:5" x14ac:dyDescent="0.45">
      <c r="A445" s="2" t="s">
        <v>89</v>
      </c>
      <c r="B445" s="2" t="s">
        <v>495</v>
      </c>
      <c r="C445" s="1">
        <v>40</v>
      </c>
      <c r="D445" s="1">
        <v>436</v>
      </c>
      <c r="E445" s="1">
        <v>9.1743119266055051E-2</v>
      </c>
    </row>
    <row r="446" spans="1:5" x14ac:dyDescent="0.45">
      <c r="A446" s="2" t="s">
        <v>165</v>
      </c>
      <c r="B446" s="2" t="s">
        <v>498</v>
      </c>
      <c r="C446" s="1">
        <v>40</v>
      </c>
      <c r="D446" s="1">
        <v>436</v>
      </c>
      <c r="E446" s="1">
        <v>9.1743119266055051E-2</v>
      </c>
    </row>
    <row r="447" spans="1:5" x14ac:dyDescent="0.45">
      <c r="A447" s="2" t="s">
        <v>162</v>
      </c>
      <c r="B447" s="2" t="s">
        <v>494</v>
      </c>
      <c r="C447" s="1">
        <v>40</v>
      </c>
      <c r="D447" s="1">
        <v>47</v>
      </c>
      <c r="E447" s="1">
        <v>0.85106382978723405</v>
      </c>
    </row>
    <row r="448" spans="1:5" x14ac:dyDescent="0.45">
      <c r="A448" s="2" t="s">
        <v>433</v>
      </c>
      <c r="B448" s="2" t="s">
        <v>494</v>
      </c>
      <c r="C448" s="1">
        <v>40</v>
      </c>
      <c r="D448" s="1">
        <v>385</v>
      </c>
      <c r="E448" s="1">
        <v>0.1038961038961039</v>
      </c>
    </row>
    <row r="449" spans="1:5" x14ac:dyDescent="0.45">
      <c r="A449" s="2" t="s">
        <v>374</v>
      </c>
      <c r="B449" s="2" t="s">
        <v>498</v>
      </c>
      <c r="C449" s="1">
        <v>40</v>
      </c>
      <c r="D449" s="1">
        <v>717</v>
      </c>
      <c r="E449" s="1">
        <v>5.5788005578800558E-2</v>
      </c>
    </row>
    <row r="450" spans="1:5" x14ac:dyDescent="0.45">
      <c r="A450" s="2" t="s">
        <v>47</v>
      </c>
      <c r="B450" s="2" t="s">
        <v>495</v>
      </c>
      <c r="C450" s="1">
        <v>40</v>
      </c>
      <c r="D450" s="1">
        <v>41</v>
      </c>
      <c r="E450" s="1">
        <v>0.97560975609756095</v>
      </c>
    </row>
    <row r="451" spans="1:5" x14ac:dyDescent="0.45">
      <c r="A451" s="2" t="s">
        <v>162</v>
      </c>
      <c r="B451" s="2" t="s">
        <v>495</v>
      </c>
      <c r="C451" s="1">
        <v>40</v>
      </c>
      <c r="D451" s="1">
        <v>161</v>
      </c>
      <c r="E451" s="1">
        <v>0.2484472049689441</v>
      </c>
    </row>
    <row r="452" spans="1:5" x14ac:dyDescent="0.45">
      <c r="A452" s="2" t="s">
        <v>27</v>
      </c>
      <c r="B452" s="2" t="s">
        <v>494</v>
      </c>
      <c r="C452" s="1">
        <v>40</v>
      </c>
      <c r="D452" s="1">
        <v>341</v>
      </c>
      <c r="E452" s="1">
        <v>0.11730205278592375</v>
      </c>
    </row>
    <row r="453" spans="1:5" x14ac:dyDescent="0.45">
      <c r="A453" s="2" t="s">
        <v>280</v>
      </c>
      <c r="B453" s="2" t="s">
        <v>495</v>
      </c>
      <c r="C453" s="1">
        <v>40</v>
      </c>
      <c r="D453" s="1">
        <v>225</v>
      </c>
      <c r="E453" s="1">
        <v>0.17777777777777778</v>
      </c>
    </row>
    <row r="454" spans="1:5" x14ac:dyDescent="0.45">
      <c r="A454" s="2" t="s">
        <v>21</v>
      </c>
      <c r="B454" s="2" t="s">
        <v>498</v>
      </c>
      <c r="C454" s="1">
        <v>40</v>
      </c>
      <c r="D454" s="1">
        <v>307</v>
      </c>
      <c r="E454" s="1">
        <v>0.13029315960912052</v>
      </c>
    </row>
    <row r="455" spans="1:5" x14ac:dyDescent="0.45">
      <c r="A455" s="2" t="s">
        <v>176</v>
      </c>
      <c r="B455" s="2" t="s">
        <v>495</v>
      </c>
      <c r="C455" s="1">
        <v>40</v>
      </c>
      <c r="D455" s="1">
        <v>279</v>
      </c>
      <c r="E455" s="1">
        <v>0.14336917562724014</v>
      </c>
    </row>
    <row r="456" spans="1:5" x14ac:dyDescent="0.45">
      <c r="A456" s="2" t="s">
        <v>39</v>
      </c>
      <c r="B456" s="2" t="s">
        <v>495</v>
      </c>
      <c r="C456" s="1">
        <v>40</v>
      </c>
      <c r="D456" s="1">
        <v>43</v>
      </c>
      <c r="E456" s="1">
        <v>0.93023255813953487</v>
      </c>
    </row>
    <row r="457" spans="1:5" x14ac:dyDescent="0.45">
      <c r="A457" s="2" t="s">
        <v>16</v>
      </c>
      <c r="B457" s="2" t="s">
        <v>495</v>
      </c>
      <c r="C457" s="1">
        <v>40</v>
      </c>
      <c r="D457" s="1">
        <v>144</v>
      </c>
      <c r="E457" s="1">
        <v>0.27777777777777779</v>
      </c>
    </row>
    <row r="458" spans="1:5" x14ac:dyDescent="0.45">
      <c r="A458" s="2" t="s">
        <v>165</v>
      </c>
      <c r="B458" s="2" t="s">
        <v>495</v>
      </c>
      <c r="C458" s="1">
        <v>39</v>
      </c>
      <c r="D458" s="1">
        <v>131</v>
      </c>
      <c r="E458" s="1">
        <v>0.29770992366412213</v>
      </c>
    </row>
    <row r="459" spans="1:5" x14ac:dyDescent="0.45">
      <c r="A459" s="2" t="s">
        <v>192</v>
      </c>
      <c r="B459" s="2" t="s">
        <v>497</v>
      </c>
      <c r="C459" s="1">
        <v>39</v>
      </c>
      <c r="D459" s="1">
        <v>193</v>
      </c>
      <c r="E459" s="1">
        <v>0.20207253886010362</v>
      </c>
    </row>
    <row r="460" spans="1:5" x14ac:dyDescent="0.45">
      <c r="A460" s="2" t="s">
        <v>127</v>
      </c>
      <c r="B460" s="2" t="s">
        <v>495</v>
      </c>
      <c r="C460" s="1">
        <v>39</v>
      </c>
      <c r="D460" s="1">
        <v>435</v>
      </c>
      <c r="E460" s="1">
        <v>8.9655172413793102E-2</v>
      </c>
    </row>
    <row r="461" spans="1:5" x14ac:dyDescent="0.45">
      <c r="A461" s="2" t="s">
        <v>35</v>
      </c>
      <c r="B461" s="2" t="s">
        <v>497</v>
      </c>
      <c r="C461" s="1">
        <v>39</v>
      </c>
      <c r="D461" s="1">
        <v>334</v>
      </c>
      <c r="E461" s="1">
        <v>0.11676646706586827</v>
      </c>
    </row>
    <row r="462" spans="1:5" x14ac:dyDescent="0.45">
      <c r="A462" s="2" t="s">
        <v>82</v>
      </c>
      <c r="B462" s="2" t="s">
        <v>497</v>
      </c>
      <c r="C462" s="1">
        <v>39</v>
      </c>
      <c r="D462" s="1">
        <v>55</v>
      </c>
      <c r="E462" s="1">
        <v>0.70909090909090911</v>
      </c>
    </row>
    <row r="463" spans="1:5" x14ac:dyDescent="0.45">
      <c r="A463" s="2" t="s">
        <v>233</v>
      </c>
      <c r="B463" s="2" t="s">
        <v>498</v>
      </c>
      <c r="C463" s="1">
        <v>39</v>
      </c>
      <c r="D463" s="1">
        <v>31</v>
      </c>
      <c r="E463" s="1">
        <v>1.2580645161290323</v>
      </c>
    </row>
    <row r="464" spans="1:5" x14ac:dyDescent="0.45">
      <c r="A464" s="2" t="s">
        <v>116</v>
      </c>
      <c r="B464" s="2" t="s">
        <v>496</v>
      </c>
      <c r="C464" s="1">
        <v>39</v>
      </c>
      <c r="D464" s="1">
        <v>325</v>
      </c>
      <c r="E464" s="1">
        <v>0.12</v>
      </c>
    </row>
    <row r="465" spans="1:5" x14ac:dyDescent="0.45">
      <c r="A465" s="2" t="s">
        <v>189</v>
      </c>
      <c r="B465" s="2" t="s">
        <v>496</v>
      </c>
      <c r="C465" s="1">
        <v>39</v>
      </c>
      <c r="D465" s="1">
        <v>28</v>
      </c>
      <c r="E465" s="1">
        <v>1.3928571428571428</v>
      </c>
    </row>
    <row r="466" spans="1:5" x14ac:dyDescent="0.45">
      <c r="A466" s="2" t="s">
        <v>252</v>
      </c>
      <c r="B466" s="2" t="s">
        <v>494</v>
      </c>
      <c r="C466" s="1">
        <v>39</v>
      </c>
      <c r="D466" s="1">
        <v>215</v>
      </c>
      <c r="E466" s="1">
        <v>0.18139534883720931</v>
      </c>
    </row>
    <row r="467" spans="1:5" x14ac:dyDescent="0.45">
      <c r="A467" s="2" t="s">
        <v>160</v>
      </c>
      <c r="B467" s="2" t="s">
        <v>497</v>
      </c>
      <c r="C467" s="1">
        <v>39</v>
      </c>
      <c r="D467" s="1">
        <v>117</v>
      </c>
      <c r="E467" s="1">
        <v>0.33333333333333331</v>
      </c>
    </row>
    <row r="468" spans="1:5" x14ac:dyDescent="0.45">
      <c r="A468" s="2" t="s">
        <v>61</v>
      </c>
      <c r="B468" s="2" t="s">
        <v>494</v>
      </c>
      <c r="C468" s="1">
        <v>39</v>
      </c>
      <c r="D468" s="1">
        <v>349</v>
      </c>
      <c r="E468" s="1">
        <v>0.11174785100286533</v>
      </c>
    </row>
    <row r="469" spans="1:5" x14ac:dyDescent="0.45">
      <c r="A469" s="2" t="s">
        <v>246</v>
      </c>
      <c r="B469" s="2" t="s">
        <v>495</v>
      </c>
      <c r="C469" s="1">
        <v>39</v>
      </c>
      <c r="D469" s="1">
        <v>848</v>
      </c>
      <c r="E469" s="1">
        <v>4.5990566037735846E-2</v>
      </c>
    </row>
    <row r="470" spans="1:5" x14ac:dyDescent="0.45">
      <c r="A470" s="2" t="s">
        <v>39</v>
      </c>
      <c r="B470" s="2" t="s">
        <v>496</v>
      </c>
      <c r="C470" s="1">
        <v>39</v>
      </c>
      <c r="D470" s="1">
        <v>278</v>
      </c>
      <c r="E470" s="1">
        <v>0.14028776978417265</v>
      </c>
    </row>
    <row r="471" spans="1:5" x14ac:dyDescent="0.45">
      <c r="A471" s="2" t="s">
        <v>31</v>
      </c>
      <c r="B471" s="2" t="s">
        <v>494</v>
      </c>
      <c r="C471" s="1">
        <v>38</v>
      </c>
      <c r="D471" s="1">
        <v>202</v>
      </c>
      <c r="E471" s="1">
        <v>0.18811881188118812</v>
      </c>
    </row>
    <row r="472" spans="1:5" x14ac:dyDescent="0.45">
      <c r="A472" s="2" t="s">
        <v>27</v>
      </c>
      <c r="B472" s="2" t="s">
        <v>496</v>
      </c>
      <c r="C472" s="1">
        <v>38</v>
      </c>
      <c r="D472" s="1">
        <v>40</v>
      </c>
      <c r="E472" s="1">
        <v>0.95</v>
      </c>
    </row>
    <row r="473" spans="1:5" x14ac:dyDescent="0.45">
      <c r="A473" s="2" t="s">
        <v>55</v>
      </c>
      <c r="B473" s="2" t="s">
        <v>494</v>
      </c>
      <c r="C473" s="1">
        <v>38</v>
      </c>
      <c r="D473" s="1">
        <v>65</v>
      </c>
      <c r="E473" s="1">
        <v>0.58461538461538465</v>
      </c>
    </row>
    <row r="474" spans="1:5" x14ac:dyDescent="0.45">
      <c r="A474" s="2" t="s">
        <v>41</v>
      </c>
      <c r="B474" s="2" t="s">
        <v>494</v>
      </c>
      <c r="C474" s="1">
        <v>38</v>
      </c>
      <c r="D474" s="1">
        <v>2</v>
      </c>
      <c r="E474" s="1">
        <v>19</v>
      </c>
    </row>
    <row r="475" spans="1:5" x14ac:dyDescent="0.45">
      <c r="A475" s="2" t="s">
        <v>47</v>
      </c>
      <c r="B475" s="2" t="s">
        <v>494</v>
      </c>
      <c r="C475" s="1">
        <v>38</v>
      </c>
      <c r="D475" s="1">
        <v>378</v>
      </c>
      <c r="E475" s="1">
        <v>0.10052910052910052</v>
      </c>
    </row>
    <row r="476" spans="1:5" x14ac:dyDescent="0.45">
      <c r="A476" s="2" t="s">
        <v>140</v>
      </c>
      <c r="B476" s="2" t="s">
        <v>498</v>
      </c>
      <c r="C476" s="1">
        <v>38</v>
      </c>
      <c r="D476" s="1">
        <v>100</v>
      </c>
      <c r="E476" s="1">
        <v>0.38</v>
      </c>
    </row>
    <row r="477" spans="1:5" x14ac:dyDescent="0.45">
      <c r="A477" s="2" t="s">
        <v>73</v>
      </c>
      <c r="B477" s="2" t="s">
        <v>494</v>
      </c>
      <c r="C477" s="1">
        <v>38</v>
      </c>
      <c r="D477" s="1">
        <v>91</v>
      </c>
      <c r="E477" s="1">
        <v>0.4175824175824176</v>
      </c>
    </row>
    <row r="478" spans="1:5" x14ac:dyDescent="0.45">
      <c r="A478" s="2" t="s">
        <v>116</v>
      </c>
      <c r="B478" s="2" t="s">
        <v>497</v>
      </c>
      <c r="C478" s="1">
        <v>38</v>
      </c>
      <c r="D478" s="1">
        <v>238</v>
      </c>
      <c r="E478" s="1">
        <v>0.15966386554621848</v>
      </c>
    </row>
    <row r="479" spans="1:5" x14ac:dyDescent="0.45">
      <c r="A479" s="2" t="s">
        <v>35</v>
      </c>
      <c r="B479" s="2" t="s">
        <v>498</v>
      </c>
      <c r="C479" s="1">
        <v>38</v>
      </c>
      <c r="D479" s="1">
        <v>248</v>
      </c>
      <c r="E479" s="1">
        <v>0.15322580645161291</v>
      </c>
    </row>
    <row r="480" spans="1:5" x14ac:dyDescent="0.45">
      <c r="A480" s="2" t="s">
        <v>82</v>
      </c>
      <c r="B480" s="2" t="s">
        <v>498</v>
      </c>
      <c r="C480" s="1">
        <v>38</v>
      </c>
      <c r="D480" s="1">
        <v>522</v>
      </c>
      <c r="E480" s="1">
        <v>7.2796934865900387E-2</v>
      </c>
    </row>
    <row r="481" spans="1:5" x14ac:dyDescent="0.45">
      <c r="A481" s="2" t="s">
        <v>31</v>
      </c>
      <c r="B481" s="2" t="s">
        <v>496</v>
      </c>
      <c r="C481" s="1">
        <v>38</v>
      </c>
      <c r="D481" s="1">
        <v>127</v>
      </c>
      <c r="E481" s="1">
        <v>0.29921259842519687</v>
      </c>
    </row>
    <row r="482" spans="1:5" x14ac:dyDescent="0.45">
      <c r="A482" s="2" t="s">
        <v>116</v>
      </c>
      <c r="B482" s="2" t="s">
        <v>496</v>
      </c>
      <c r="C482" s="1">
        <v>37</v>
      </c>
      <c r="D482" s="1">
        <v>17</v>
      </c>
      <c r="E482" s="1">
        <v>2.1764705882352939</v>
      </c>
    </row>
    <row r="483" spans="1:5" x14ac:dyDescent="0.45">
      <c r="A483" s="2" t="s">
        <v>21</v>
      </c>
      <c r="B483" s="2" t="s">
        <v>497</v>
      </c>
      <c r="C483" s="1">
        <v>37</v>
      </c>
      <c r="D483" s="1">
        <v>174</v>
      </c>
      <c r="E483" s="1">
        <v>0.21264367816091953</v>
      </c>
    </row>
    <row r="484" spans="1:5" x14ac:dyDescent="0.45">
      <c r="A484" s="2" t="s">
        <v>158</v>
      </c>
      <c r="B484" s="2" t="s">
        <v>495</v>
      </c>
      <c r="C484" s="1">
        <v>37</v>
      </c>
      <c r="D484" s="1">
        <v>102</v>
      </c>
      <c r="E484" s="1">
        <v>0.36274509803921567</v>
      </c>
    </row>
    <row r="485" spans="1:5" x14ac:dyDescent="0.45">
      <c r="A485" s="2" t="s">
        <v>57</v>
      </c>
      <c r="B485" s="2" t="s">
        <v>496</v>
      </c>
      <c r="C485" s="1">
        <v>37</v>
      </c>
      <c r="D485" s="1">
        <v>453</v>
      </c>
      <c r="E485" s="1">
        <v>8.1677704194260486E-2</v>
      </c>
    </row>
    <row r="486" spans="1:5" x14ac:dyDescent="0.45">
      <c r="A486" s="2" t="s">
        <v>242</v>
      </c>
      <c r="B486" s="2" t="s">
        <v>497</v>
      </c>
      <c r="C486" s="1">
        <v>37</v>
      </c>
      <c r="D486" s="1">
        <v>158</v>
      </c>
      <c r="E486" s="1">
        <v>0.23417721518987342</v>
      </c>
    </row>
    <row r="487" spans="1:5" x14ac:dyDescent="0.45">
      <c r="A487" s="2" t="s">
        <v>35</v>
      </c>
      <c r="B487" s="2" t="s">
        <v>498</v>
      </c>
      <c r="C487" s="1">
        <v>37</v>
      </c>
      <c r="D487" s="1">
        <v>321</v>
      </c>
      <c r="E487" s="1">
        <v>0.11526479750778816</v>
      </c>
    </row>
    <row r="488" spans="1:5" x14ac:dyDescent="0.45">
      <c r="A488" s="2" t="s">
        <v>96</v>
      </c>
      <c r="B488" s="2" t="s">
        <v>495</v>
      </c>
      <c r="C488" s="1">
        <v>37</v>
      </c>
      <c r="D488" s="1">
        <v>125</v>
      </c>
      <c r="E488" s="1">
        <v>0.29599999999999999</v>
      </c>
    </row>
    <row r="489" spans="1:5" x14ac:dyDescent="0.45">
      <c r="A489" s="2" t="s">
        <v>331</v>
      </c>
      <c r="B489" s="2" t="s">
        <v>498</v>
      </c>
      <c r="C489" s="1">
        <v>37</v>
      </c>
      <c r="D489" s="1">
        <v>32</v>
      </c>
      <c r="E489" s="1">
        <v>1.15625</v>
      </c>
    </row>
    <row r="490" spans="1:5" x14ac:dyDescent="0.45">
      <c r="A490" s="2" t="s">
        <v>35</v>
      </c>
      <c r="B490" s="2" t="s">
        <v>494</v>
      </c>
      <c r="C490" s="1">
        <v>37</v>
      </c>
      <c r="D490" s="1">
        <v>23</v>
      </c>
      <c r="E490" s="1">
        <v>1.6086956521739131</v>
      </c>
    </row>
    <row r="491" spans="1:5" x14ac:dyDescent="0.45">
      <c r="A491" s="2" t="s">
        <v>280</v>
      </c>
      <c r="B491" s="2" t="s">
        <v>498</v>
      </c>
      <c r="C491" s="1">
        <v>37</v>
      </c>
      <c r="D491" s="1">
        <v>93</v>
      </c>
      <c r="E491" s="1">
        <v>0.39784946236559138</v>
      </c>
    </row>
    <row r="492" spans="1:5" x14ac:dyDescent="0.45">
      <c r="A492" s="2" t="s">
        <v>242</v>
      </c>
      <c r="B492" s="2" t="s">
        <v>494</v>
      </c>
      <c r="C492" s="1">
        <v>37</v>
      </c>
      <c r="D492" s="1">
        <v>232</v>
      </c>
      <c r="E492" s="1">
        <v>0.15948275862068967</v>
      </c>
    </row>
    <row r="493" spans="1:5" x14ac:dyDescent="0.45">
      <c r="A493" s="2" t="s">
        <v>272</v>
      </c>
      <c r="B493" s="2" t="s">
        <v>497</v>
      </c>
      <c r="C493" s="1">
        <v>36</v>
      </c>
      <c r="D493" s="1">
        <v>18</v>
      </c>
      <c r="E493" s="1">
        <v>2</v>
      </c>
    </row>
    <row r="494" spans="1:5" x14ac:dyDescent="0.45">
      <c r="A494" s="2" t="s">
        <v>77</v>
      </c>
      <c r="B494" s="2" t="s">
        <v>496</v>
      </c>
      <c r="C494" s="1">
        <v>36</v>
      </c>
      <c r="D494" s="1">
        <v>122</v>
      </c>
      <c r="E494" s="1">
        <v>0.29508196721311475</v>
      </c>
    </row>
    <row r="495" spans="1:5" x14ac:dyDescent="0.45">
      <c r="A495" s="2" t="s">
        <v>240</v>
      </c>
      <c r="B495" s="2" t="s">
        <v>497</v>
      </c>
      <c r="C495" s="1">
        <v>36</v>
      </c>
      <c r="D495" s="1">
        <v>118</v>
      </c>
      <c r="E495" s="1">
        <v>0.30508474576271188</v>
      </c>
    </row>
    <row r="496" spans="1:5" x14ac:dyDescent="0.45">
      <c r="A496" s="2" t="s">
        <v>146</v>
      </c>
      <c r="B496" s="2" t="s">
        <v>494</v>
      </c>
      <c r="C496" s="1">
        <v>36</v>
      </c>
      <c r="D496" s="1">
        <v>497</v>
      </c>
      <c r="E496" s="1">
        <v>7.2434607645875254E-2</v>
      </c>
    </row>
    <row r="497" spans="1:5" x14ac:dyDescent="0.45">
      <c r="A497" s="2" t="s">
        <v>158</v>
      </c>
      <c r="B497" s="2" t="s">
        <v>496</v>
      </c>
      <c r="C497" s="1">
        <v>36</v>
      </c>
      <c r="D497" s="1">
        <v>19</v>
      </c>
      <c r="E497" s="1">
        <v>1.8947368421052633</v>
      </c>
    </row>
    <row r="498" spans="1:5" x14ac:dyDescent="0.45">
      <c r="A498" s="2" t="s">
        <v>23</v>
      </c>
      <c r="B498" s="2" t="s">
        <v>498</v>
      </c>
      <c r="C498" s="1">
        <v>36</v>
      </c>
      <c r="D498" s="1">
        <v>144</v>
      </c>
      <c r="E498" s="1">
        <v>0.25</v>
      </c>
    </row>
    <row r="499" spans="1:5" x14ac:dyDescent="0.45">
      <c r="A499" s="2" t="s">
        <v>121</v>
      </c>
      <c r="B499" s="2" t="s">
        <v>494</v>
      </c>
      <c r="C499" s="1">
        <v>36</v>
      </c>
      <c r="D499" s="1">
        <v>5</v>
      </c>
      <c r="E499" s="1">
        <v>7.2</v>
      </c>
    </row>
    <row r="500" spans="1:5" x14ac:dyDescent="0.45">
      <c r="A500" s="2" t="s">
        <v>143</v>
      </c>
      <c r="B500" s="2" t="s">
        <v>494</v>
      </c>
      <c r="C500" s="1">
        <v>36</v>
      </c>
      <c r="D500" s="1">
        <v>34</v>
      </c>
      <c r="E500" s="1">
        <v>1.0588235294117647</v>
      </c>
    </row>
    <row r="501" spans="1:5" x14ac:dyDescent="0.45">
      <c r="A501" s="2" t="s">
        <v>357</v>
      </c>
      <c r="B501" s="2" t="s">
        <v>495</v>
      </c>
      <c r="C501" s="1">
        <v>36</v>
      </c>
      <c r="D501" s="1">
        <v>423</v>
      </c>
      <c r="E501" s="1">
        <v>8.5106382978723402E-2</v>
      </c>
    </row>
    <row r="502" spans="1:5" x14ac:dyDescent="0.45">
      <c r="A502" s="2" t="s">
        <v>233</v>
      </c>
      <c r="B502" s="2" t="s">
        <v>494</v>
      </c>
      <c r="C502" s="1">
        <v>36</v>
      </c>
      <c r="D502" s="1">
        <v>34</v>
      </c>
      <c r="E502" s="1">
        <v>1.0588235294117647</v>
      </c>
    </row>
    <row r="503" spans="1:5" x14ac:dyDescent="0.45">
      <c r="A503" s="2" t="s">
        <v>215</v>
      </c>
      <c r="B503" s="2" t="s">
        <v>496</v>
      </c>
      <c r="C503" s="1">
        <v>35</v>
      </c>
      <c r="D503" s="1">
        <v>157</v>
      </c>
      <c r="E503" s="1">
        <v>0.22292993630573249</v>
      </c>
    </row>
    <row r="504" spans="1:5" x14ac:dyDescent="0.45">
      <c r="A504" s="2" t="s">
        <v>29</v>
      </c>
      <c r="B504" s="2" t="s">
        <v>494</v>
      </c>
      <c r="C504" s="1">
        <v>35</v>
      </c>
      <c r="D504" s="1">
        <v>149</v>
      </c>
      <c r="E504" s="1">
        <v>0.2348993288590604</v>
      </c>
    </row>
    <row r="505" spans="1:5" x14ac:dyDescent="0.45">
      <c r="A505" s="2" t="s">
        <v>176</v>
      </c>
      <c r="B505" s="2" t="s">
        <v>495</v>
      </c>
      <c r="C505" s="1">
        <v>35</v>
      </c>
      <c r="D505" s="1">
        <v>308</v>
      </c>
      <c r="E505" s="1">
        <v>0.11363636363636363</v>
      </c>
    </row>
    <row r="506" spans="1:5" x14ac:dyDescent="0.45">
      <c r="A506" s="2" t="s">
        <v>318</v>
      </c>
      <c r="B506" s="2" t="s">
        <v>498</v>
      </c>
      <c r="C506" s="1">
        <v>35</v>
      </c>
      <c r="D506" s="1">
        <v>564</v>
      </c>
      <c r="E506" s="1">
        <v>6.2056737588652482E-2</v>
      </c>
    </row>
    <row r="507" spans="1:5" x14ac:dyDescent="0.45">
      <c r="A507" s="2" t="s">
        <v>89</v>
      </c>
      <c r="B507" s="2" t="s">
        <v>498</v>
      </c>
      <c r="C507" s="1">
        <v>35</v>
      </c>
      <c r="D507" s="1">
        <v>239</v>
      </c>
      <c r="E507" s="1">
        <v>0.14644351464435146</v>
      </c>
    </row>
    <row r="508" spans="1:5" x14ac:dyDescent="0.45">
      <c r="A508" s="2" t="s">
        <v>289</v>
      </c>
      <c r="B508" s="2" t="s">
        <v>496</v>
      </c>
      <c r="C508" s="1">
        <v>35</v>
      </c>
      <c r="D508" s="1">
        <v>164</v>
      </c>
      <c r="E508" s="1">
        <v>0.21341463414634146</v>
      </c>
    </row>
    <row r="509" spans="1:5" x14ac:dyDescent="0.45">
      <c r="A509" s="2" t="s">
        <v>29</v>
      </c>
      <c r="B509" s="2" t="s">
        <v>496</v>
      </c>
      <c r="C509" s="1">
        <v>35</v>
      </c>
      <c r="D509" s="1">
        <v>330</v>
      </c>
      <c r="E509" s="1">
        <v>0.10606060606060606</v>
      </c>
    </row>
    <row r="510" spans="1:5" x14ac:dyDescent="0.45">
      <c r="A510" s="2" t="s">
        <v>272</v>
      </c>
      <c r="B510" s="2" t="s">
        <v>494</v>
      </c>
      <c r="C510" s="1">
        <v>34</v>
      </c>
      <c r="D510" s="1">
        <v>328</v>
      </c>
      <c r="E510" s="1">
        <v>0.10365853658536585</v>
      </c>
    </row>
    <row r="511" spans="1:5" x14ac:dyDescent="0.45">
      <c r="A511" s="2" t="s">
        <v>196</v>
      </c>
      <c r="B511" s="2" t="s">
        <v>494</v>
      </c>
      <c r="C511" s="1">
        <v>34</v>
      </c>
      <c r="D511" s="1">
        <v>937</v>
      </c>
      <c r="E511" s="1">
        <v>3.6286019210245463E-2</v>
      </c>
    </row>
    <row r="512" spans="1:5" x14ac:dyDescent="0.45">
      <c r="A512" s="2" t="s">
        <v>121</v>
      </c>
      <c r="B512" s="2" t="s">
        <v>496</v>
      </c>
      <c r="C512" s="1">
        <v>34</v>
      </c>
      <c r="D512" s="1">
        <v>48</v>
      </c>
      <c r="E512" s="1">
        <v>0.70833333333333337</v>
      </c>
    </row>
    <row r="513" spans="1:5" x14ac:dyDescent="0.45">
      <c r="A513" s="2" t="s">
        <v>69</v>
      </c>
      <c r="B513" s="2" t="s">
        <v>494</v>
      </c>
      <c r="C513" s="1">
        <v>34</v>
      </c>
      <c r="D513" s="1">
        <v>117</v>
      </c>
      <c r="E513" s="1">
        <v>0.29059829059829062</v>
      </c>
    </row>
    <row r="514" spans="1:5" x14ac:dyDescent="0.45">
      <c r="A514" s="2" t="s">
        <v>240</v>
      </c>
      <c r="B514" s="2" t="s">
        <v>496</v>
      </c>
      <c r="C514" s="1">
        <v>34</v>
      </c>
      <c r="D514" s="1">
        <v>139</v>
      </c>
      <c r="E514" s="1">
        <v>0.2446043165467626</v>
      </c>
    </row>
    <row r="515" spans="1:5" x14ac:dyDescent="0.45">
      <c r="A515" s="2" t="s">
        <v>185</v>
      </c>
      <c r="B515" s="2" t="s">
        <v>494</v>
      </c>
      <c r="C515" s="1">
        <v>34</v>
      </c>
      <c r="D515" s="1">
        <v>18</v>
      </c>
      <c r="E515" s="1">
        <v>1.8888888888888888</v>
      </c>
    </row>
    <row r="516" spans="1:5" x14ac:dyDescent="0.45">
      <c r="A516" s="2" t="s">
        <v>299</v>
      </c>
      <c r="B516" s="2" t="s">
        <v>496</v>
      </c>
      <c r="C516" s="1">
        <v>34</v>
      </c>
      <c r="D516" s="1">
        <v>222</v>
      </c>
      <c r="E516" s="1">
        <v>0.15315315315315314</v>
      </c>
    </row>
    <row r="517" spans="1:5" x14ac:dyDescent="0.45">
      <c r="A517" s="2" t="s">
        <v>176</v>
      </c>
      <c r="B517" s="2" t="s">
        <v>495</v>
      </c>
      <c r="C517" s="1">
        <v>33</v>
      </c>
      <c r="D517" s="1">
        <v>36</v>
      </c>
      <c r="E517" s="1">
        <v>0.91666666666666663</v>
      </c>
    </row>
    <row r="518" spans="1:5" x14ac:dyDescent="0.45">
      <c r="A518" s="2" t="s">
        <v>66</v>
      </c>
      <c r="B518" s="2" t="s">
        <v>498</v>
      </c>
      <c r="C518" s="1">
        <v>33</v>
      </c>
      <c r="D518" s="1">
        <v>277</v>
      </c>
      <c r="E518" s="1">
        <v>0.11913357400722022</v>
      </c>
    </row>
    <row r="519" spans="1:5" x14ac:dyDescent="0.45">
      <c r="A519" s="2" t="s">
        <v>43</v>
      </c>
      <c r="B519" s="2" t="s">
        <v>495</v>
      </c>
      <c r="C519" s="1">
        <v>33</v>
      </c>
      <c r="D519" s="1">
        <v>615</v>
      </c>
      <c r="E519" s="1">
        <v>5.3658536585365853E-2</v>
      </c>
    </row>
    <row r="520" spans="1:5" x14ac:dyDescent="0.45">
      <c r="A520" s="2" t="s">
        <v>165</v>
      </c>
      <c r="B520" s="2" t="s">
        <v>498</v>
      </c>
      <c r="C520" s="1">
        <v>33</v>
      </c>
      <c r="D520" s="1">
        <v>243</v>
      </c>
      <c r="E520" s="1">
        <v>0.13580246913580246</v>
      </c>
    </row>
    <row r="521" spans="1:5" x14ac:dyDescent="0.45">
      <c r="A521" s="2" t="s">
        <v>75</v>
      </c>
      <c r="B521" s="2" t="s">
        <v>494</v>
      </c>
      <c r="C521" s="1">
        <v>33</v>
      </c>
      <c r="D521" s="1">
        <v>59</v>
      </c>
      <c r="E521" s="1">
        <v>0.55932203389830504</v>
      </c>
    </row>
    <row r="522" spans="1:5" x14ac:dyDescent="0.45">
      <c r="A522" s="2" t="s">
        <v>108</v>
      </c>
      <c r="B522" s="2" t="s">
        <v>497</v>
      </c>
      <c r="C522" s="1">
        <v>33</v>
      </c>
      <c r="D522" s="1">
        <v>191</v>
      </c>
      <c r="E522" s="1">
        <v>0.17277486910994763</v>
      </c>
    </row>
    <row r="523" spans="1:5" x14ac:dyDescent="0.45">
      <c r="A523" s="2" t="s">
        <v>41</v>
      </c>
      <c r="B523" s="2" t="s">
        <v>497</v>
      </c>
      <c r="C523" s="1">
        <v>33</v>
      </c>
      <c r="D523" s="1">
        <v>509</v>
      </c>
      <c r="E523" s="1">
        <v>6.4833005893909626E-2</v>
      </c>
    </row>
    <row r="524" spans="1:5" x14ac:dyDescent="0.45">
      <c r="A524" s="2" t="s">
        <v>252</v>
      </c>
      <c r="B524" s="2" t="s">
        <v>498</v>
      </c>
      <c r="C524" s="1">
        <v>33</v>
      </c>
      <c r="D524" s="1">
        <v>471</v>
      </c>
      <c r="E524" s="1">
        <v>7.0063694267515922E-2</v>
      </c>
    </row>
    <row r="525" spans="1:5" x14ac:dyDescent="0.45">
      <c r="A525" s="2" t="s">
        <v>71</v>
      </c>
      <c r="B525" s="2" t="s">
        <v>498</v>
      </c>
      <c r="C525" s="1">
        <v>33</v>
      </c>
      <c r="D525" s="1">
        <v>55</v>
      </c>
      <c r="E525" s="1">
        <v>0.6</v>
      </c>
    </row>
    <row r="526" spans="1:5" x14ac:dyDescent="0.45">
      <c r="A526" s="2" t="s">
        <v>272</v>
      </c>
      <c r="B526" s="2" t="s">
        <v>494</v>
      </c>
      <c r="C526" s="1">
        <v>33</v>
      </c>
      <c r="D526" s="1">
        <v>563</v>
      </c>
      <c r="E526" s="1">
        <v>5.8614564831261103E-2</v>
      </c>
    </row>
    <row r="527" spans="1:5" x14ac:dyDescent="0.45">
      <c r="A527" s="2" t="s">
        <v>121</v>
      </c>
      <c r="B527" s="2" t="s">
        <v>496</v>
      </c>
      <c r="C527" s="1">
        <v>32</v>
      </c>
      <c r="D527" s="1">
        <v>79</v>
      </c>
      <c r="E527" s="1">
        <v>0.4050632911392405</v>
      </c>
    </row>
    <row r="528" spans="1:5" x14ac:dyDescent="0.45">
      <c r="A528" s="2" t="s">
        <v>137</v>
      </c>
      <c r="B528" s="2" t="s">
        <v>496</v>
      </c>
      <c r="C528" s="1">
        <v>32</v>
      </c>
      <c r="D528" s="1">
        <v>294</v>
      </c>
      <c r="E528" s="1">
        <v>0.10884353741496598</v>
      </c>
    </row>
    <row r="529" spans="1:5" x14ac:dyDescent="0.45">
      <c r="A529" s="2" t="s">
        <v>102</v>
      </c>
      <c r="B529" s="2" t="s">
        <v>494</v>
      </c>
      <c r="C529" s="1">
        <v>32</v>
      </c>
      <c r="D529" s="1">
        <v>812</v>
      </c>
      <c r="E529" s="1">
        <v>3.9408866995073892E-2</v>
      </c>
    </row>
    <row r="530" spans="1:5" x14ac:dyDescent="0.45">
      <c r="A530" s="2" t="s">
        <v>79</v>
      </c>
      <c r="B530" s="2" t="s">
        <v>495</v>
      </c>
      <c r="C530" s="1">
        <v>32</v>
      </c>
      <c r="D530" s="1">
        <v>193</v>
      </c>
      <c r="E530" s="1">
        <v>0.16580310880829016</v>
      </c>
    </row>
    <row r="531" spans="1:5" x14ac:dyDescent="0.45">
      <c r="A531" s="2" t="s">
        <v>352</v>
      </c>
      <c r="B531" s="2" t="s">
        <v>498</v>
      </c>
      <c r="C531" s="1">
        <v>32</v>
      </c>
      <c r="D531" s="1">
        <v>710</v>
      </c>
      <c r="E531" s="1">
        <v>4.507042253521127E-2</v>
      </c>
    </row>
    <row r="532" spans="1:5" x14ac:dyDescent="0.45">
      <c r="A532" s="2" t="s">
        <v>53</v>
      </c>
      <c r="B532" s="2" t="s">
        <v>494</v>
      </c>
      <c r="C532" s="1">
        <v>32</v>
      </c>
      <c r="D532" s="1">
        <v>751</v>
      </c>
      <c r="E532" s="1">
        <v>4.2609853528628498E-2</v>
      </c>
    </row>
    <row r="533" spans="1:5" x14ac:dyDescent="0.45">
      <c r="A533" s="2" t="s">
        <v>129</v>
      </c>
      <c r="B533" s="2" t="s">
        <v>497</v>
      </c>
      <c r="C533" s="1">
        <v>32</v>
      </c>
      <c r="D533" s="1">
        <v>259</v>
      </c>
      <c r="E533" s="1">
        <v>0.12355212355212356</v>
      </c>
    </row>
    <row r="534" spans="1:5" x14ac:dyDescent="0.45">
      <c r="A534" s="2" t="s">
        <v>91</v>
      </c>
      <c r="B534" s="2" t="s">
        <v>498</v>
      </c>
      <c r="C534" s="1">
        <v>32</v>
      </c>
      <c r="D534" s="1">
        <v>494</v>
      </c>
      <c r="E534" s="1">
        <v>6.4777327935222673E-2</v>
      </c>
    </row>
    <row r="535" spans="1:5" x14ac:dyDescent="0.45">
      <c r="A535" s="2" t="s">
        <v>209</v>
      </c>
      <c r="B535" s="2" t="s">
        <v>498</v>
      </c>
      <c r="C535" s="1">
        <v>32</v>
      </c>
      <c r="D535" s="1">
        <v>128</v>
      </c>
      <c r="E535" s="1">
        <v>0.25</v>
      </c>
    </row>
    <row r="536" spans="1:5" x14ac:dyDescent="0.45">
      <c r="A536" s="2" t="s">
        <v>110</v>
      </c>
      <c r="B536" s="2" t="s">
        <v>498</v>
      </c>
      <c r="C536" s="1">
        <v>32</v>
      </c>
      <c r="D536" s="1">
        <v>111</v>
      </c>
      <c r="E536" s="1">
        <v>0.28828828828828829</v>
      </c>
    </row>
    <row r="537" spans="1:5" x14ac:dyDescent="0.45">
      <c r="A537" s="2" t="s">
        <v>8</v>
      </c>
      <c r="B537" s="2" t="s">
        <v>496</v>
      </c>
      <c r="C537" s="1">
        <v>32</v>
      </c>
      <c r="D537" s="1">
        <v>218</v>
      </c>
      <c r="E537" s="1">
        <v>0.14678899082568808</v>
      </c>
    </row>
    <row r="538" spans="1:5" x14ac:dyDescent="0.45">
      <c r="A538" s="2" t="s">
        <v>86</v>
      </c>
      <c r="B538" s="2" t="s">
        <v>495</v>
      </c>
      <c r="C538" s="1">
        <v>32</v>
      </c>
      <c r="D538" s="1">
        <v>426</v>
      </c>
      <c r="E538" s="1">
        <v>7.5117370892018781E-2</v>
      </c>
    </row>
    <row r="539" spans="1:5" x14ac:dyDescent="0.45">
      <c r="A539" s="2" t="s">
        <v>25</v>
      </c>
      <c r="B539" s="2" t="s">
        <v>497</v>
      </c>
      <c r="C539" s="1">
        <v>32</v>
      </c>
      <c r="D539" s="1">
        <v>107</v>
      </c>
      <c r="E539" s="1">
        <v>0.29906542056074764</v>
      </c>
    </row>
    <row r="540" spans="1:5" x14ac:dyDescent="0.45">
      <c r="A540" s="2" t="s">
        <v>66</v>
      </c>
      <c r="B540" s="2" t="s">
        <v>498</v>
      </c>
      <c r="C540" s="1">
        <v>32</v>
      </c>
      <c r="D540" s="1">
        <v>328</v>
      </c>
      <c r="E540" s="1">
        <v>9.7560975609756101E-2</v>
      </c>
    </row>
    <row r="541" spans="1:5" x14ac:dyDescent="0.45">
      <c r="A541" s="2" t="s">
        <v>196</v>
      </c>
      <c r="B541" s="2" t="s">
        <v>497</v>
      </c>
      <c r="C541" s="1">
        <v>32</v>
      </c>
      <c r="D541" s="1">
        <v>478</v>
      </c>
      <c r="E541" s="1">
        <v>6.6945606694560664E-2</v>
      </c>
    </row>
    <row r="542" spans="1:5" x14ac:dyDescent="0.45">
      <c r="A542" s="2" t="s">
        <v>82</v>
      </c>
      <c r="B542" s="2" t="s">
        <v>495</v>
      </c>
      <c r="C542" s="1">
        <v>31</v>
      </c>
      <c r="D542" s="1">
        <v>194</v>
      </c>
      <c r="E542" s="1">
        <v>0.15979381443298968</v>
      </c>
    </row>
    <row r="543" spans="1:5" x14ac:dyDescent="0.45">
      <c r="A543" s="2" t="s">
        <v>140</v>
      </c>
      <c r="B543" s="2" t="s">
        <v>497</v>
      </c>
      <c r="C543" s="1">
        <v>31</v>
      </c>
      <c r="D543" s="1">
        <v>132</v>
      </c>
      <c r="E543" s="1">
        <v>0.23484848484848483</v>
      </c>
    </row>
    <row r="544" spans="1:5" x14ac:dyDescent="0.45">
      <c r="A544" s="2" t="s">
        <v>104</v>
      </c>
      <c r="B544" s="2" t="s">
        <v>498</v>
      </c>
      <c r="C544" s="1">
        <v>31</v>
      </c>
      <c r="D544" s="1">
        <v>95</v>
      </c>
      <c r="E544" s="1">
        <v>0.32631578947368423</v>
      </c>
    </row>
    <row r="545" spans="1:5" x14ac:dyDescent="0.45">
      <c r="A545" s="2" t="s">
        <v>219</v>
      </c>
      <c r="B545" s="2" t="s">
        <v>496</v>
      </c>
      <c r="C545" s="1">
        <v>31</v>
      </c>
      <c r="D545" s="1">
        <v>120</v>
      </c>
      <c r="E545" s="1">
        <v>0.25833333333333336</v>
      </c>
    </row>
    <row r="546" spans="1:5" x14ac:dyDescent="0.45">
      <c r="A546" s="2" t="s">
        <v>59</v>
      </c>
      <c r="B546" s="2" t="s">
        <v>497</v>
      </c>
      <c r="C546" s="1">
        <v>31</v>
      </c>
      <c r="D546" s="1">
        <v>118</v>
      </c>
      <c r="E546" s="1">
        <v>0.26271186440677968</v>
      </c>
    </row>
    <row r="547" spans="1:5" x14ac:dyDescent="0.45">
      <c r="A547" s="2" t="s">
        <v>118</v>
      </c>
      <c r="B547" s="2" t="s">
        <v>495</v>
      </c>
      <c r="C547" s="1">
        <v>31</v>
      </c>
      <c r="D547" s="1">
        <v>74</v>
      </c>
      <c r="E547" s="1">
        <v>0.41891891891891891</v>
      </c>
    </row>
    <row r="548" spans="1:5" x14ac:dyDescent="0.45">
      <c r="A548" s="2" t="s">
        <v>104</v>
      </c>
      <c r="B548" s="2" t="s">
        <v>494</v>
      </c>
      <c r="C548" s="1">
        <v>31</v>
      </c>
      <c r="D548" s="1">
        <v>218</v>
      </c>
      <c r="E548" s="1">
        <v>0.14220183486238533</v>
      </c>
    </row>
    <row r="549" spans="1:5" x14ac:dyDescent="0.45">
      <c r="A549" s="2" t="s">
        <v>108</v>
      </c>
      <c r="B549" s="2" t="s">
        <v>498</v>
      </c>
      <c r="C549" s="1">
        <v>30</v>
      </c>
      <c r="D549" s="1">
        <v>323</v>
      </c>
      <c r="E549" s="1">
        <v>9.2879256965944276E-2</v>
      </c>
    </row>
    <row r="550" spans="1:5" x14ac:dyDescent="0.45">
      <c r="A550" s="2" t="s">
        <v>8</v>
      </c>
      <c r="B550" s="2" t="s">
        <v>496</v>
      </c>
      <c r="C550" s="1">
        <v>30</v>
      </c>
      <c r="D550" s="1">
        <v>262</v>
      </c>
      <c r="E550" s="1">
        <v>0.11450381679389313</v>
      </c>
    </row>
    <row r="551" spans="1:5" x14ac:dyDescent="0.45">
      <c r="A551" s="2" t="s">
        <v>160</v>
      </c>
      <c r="B551" s="2" t="s">
        <v>498</v>
      </c>
      <c r="C551" s="1">
        <v>30</v>
      </c>
      <c r="D551" s="1">
        <v>25</v>
      </c>
      <c r="E551" s="1">
        <v>1.2</v>
      </c>
    </row>
    <row r="552" spans="1:5" x14ac:dyDescent="0.45">
      <c r="A552" s="2" t="s">
        <v>152</v>
      </c>
      <c r="B552" s="2" t="s">
        <v>496</v>
      </c>
      <c r="C552" s="1">
        <v>30</v>
      </c>
      <c r="D552" s="1">
        <v>127</v>
      </c>
      <c r="E552" s="1">
        <v>0.23622047244094488</v>
      </c>
    </row>
    <row r="553" spans="1:5" x14ac:dyDescent="0.45">
      <c r="A553" s="2" t="s">
        <v>374</v>
      </c>
      <c r="B553" s="2" t="s">
        <v>497</v>
      </c>
      <c r="C553" s="1">
        <v>30</v>
      </c>
      <c r="D553" s="1">
        <v>165</v>
      </c>
      <c r="E553" s="1">
        <v>0.18181818181818182</v>
      </c>
    </row>
    <row r="554" spans="1:5" x14ac:dyDescent="0.45">
      <c r="A554" s="2" t="s">
        <v>121</v>
      </c>
      <c r="B554" s="2" t="s">
        <v>494</v>
      </c>
      <c r="C554" s="1">
        <v>30</v>
      </c>
      <c r="D554" s="1">
        <v>9</v>
      </c>
      <c r="E554" s="1">
        <v>3.3333333333333335</v>
      </c>
    </row>
    <row r="555" spans="1:5" x14ac:dyDescent="0.45">
      <c r="A555" s="2" t="s">
        <v>39</v>
      </c>
      <c r="B555" s="2" t="s">
        <v>495</v>
      </c>
      <c r="C555" s="1">
        <v>30</v>
      </c>
      <c r="D555" s="1">
        <v>87</v>
      </c>
      <c r="E555" s="1">
        <v>0.34482758620689657</v>
      </c>
    </row>
    <row r="556" spans="1:5" x14ac:dyDescent="0.45">
      <c r="A556" s="2" t="s">
        <v>75</v>
      </c>
      <c r="B556" s="2" t="s">
        <v>495</v>
      </c>
      <c r="C556" s="1">
        <v>30</v>
      </c>
      <c r="D556" s="1">
        <v>738</v>
      </c>
      <c r="E556" s="1">
        <v>4.065040650406504E-2</v>
      </c>
    </row>
    <row r="557" spans="1:5" x14ac:dyDescent="0.45">
      <c r="A557" s="2" t="s">
        <v>11</v>
      </c>
      <c r="B557" s="2" t="s">
        <v>498</v>
      </c>
      <c r="C557" s="1">
        <v>30</v>
      </c>
      <c r="D557" s="1">
        <v>217</v>
      </c>
      <c r="E557" s="1">
        <v>0.13824884792626729</v>
      </c>
    </row>
    <row r="558" spans="1:5" x14ac:dyDescent="0.45">
      <c r="A558" s="2" t="s">
        <v>127</v>
      </c>
      <c r="B558" s="2" t="s">
        <v>496</v>
      </c>
      <c r="C558" s="1">
        <v>30</v>
      </c>
      <c r="D558" s="1">
        <v>381</v>
      </c>
      <c r="E558" s="1">
        <v>7.874015748031496E-2</v>
      </c>
    </row>
    <row r="559" spans="1:5" x14ac:dyDescent="0.45">
      <c r="A559" s="2" t="s">
        <v>206</v>
      </c>
      <c r="B559" s="2" t="s">
        <v>494</v>
      </c>
      <c r="C559" s="1">
        <v>30</v>
      </c>
      <c r="D559" s="1">
        <v>696</v>
      </c>
      <c r="E559" s="1">
        <v>4.3103448275862072E-2</v>
      </c>
    </row>
    <row r="560" spans="1:5" x14ac:dyDescent="0.45">
      <c r="A560" s="2" t="s">
        <v>160</v>
      </c>
      <c r="B560" s="2" t="s">
        <v>495</v>
      </c>
      <c r="C560" s="1">
        <v>30</v>
      </c>
      <c r="D560" s="1">
        <v>694</v>
      </c>
      <c r="E560" s="1">
        <v>4.3227665706051875E-2</v>
      </c>
    </row>
    <row r="561" spans="1:5" x14ac:dyDescent="0.45">
      <c r="A561" s="2" t="s">
        <v>86</v>
      </c>
      <c r="B561" s="2" t="s">
        <v>495</v>
      </c>
      <c r="C561" s="1">
        <v>30</v>
      </c>
      <c r="D561" s="1">
        <v>133</v>
      </c>
      <c r="E561" s="1">
        <v>0.22556390977443608</v>
      </c>
    </row>
    <row r="562" spans="1:5" x14ac:dyDescent="0.45">
      <c r="A562" s="2" t="s">
        <v>110</v>
      </c>
      <c r="B562" s="2" t="s">
        <v>498</v>
      </c>
      <c r="C562" s="1">
        <v>30</v>
      </c>
      <c r="D562" s="1">
        <v>118</v>
      </c>
      <c r="E562" s="1">
        <v>0.25423728813559321</v>
      </c>
    </row>
    <row r="563" spans="1:5" x14ac:dyDescent="0.45">
      <c r="A563" s="2" t="s">
        <v>410</v>
      </c>
      <c r="B563" s="2" t="s">
        <v>495</v>
      </c>
      <c r="C563" s="1">
        <v>30</v>
      </c>
      <c r="D563" s="1">
        <v>667</v>
      </c>
      <c r="E563" s="1">
        <v>4.4977511244377814E-2</v>
      </c>
    </row>
    <row r="564" spans="1:5" x14ac:dyDescent="0.45">
      <c r="A564" s="2" t="s">
        <v>75</v>
      </c>
      <c r="B564" s="2" t="s">
        <v>498</v>
      </c>
      <c r="C564" s="1">
        <v>30</v>
      </c>
      <c r="D564" s="1">
        <v>236</v>
      </c>
      <c r="E564" s="1">
        <v>0.1271186440677966</v>
      </c>
    </row>
    <row r="565" spans="1:5" x14ac:dyDescent="0.45">
      <c r="A565" s="2" t="s">
        <v>89</v>
      </c>
      <c r="B565" s="2" t="s">
        <v>496</v>
      </c>
      <c r="C565" s="1">
        <v>30</v>
      </c>
      <c r="D565" s="1">
        <v>84</v>
      </c>
      <c r="E565" s="1">
        <v>0.35714285714285715</v>
      </c>
    </row>
    <row r="566" spans="1:5" x14ac:dyDescent="0.45">
      <c r="A566" s="2" t="s">
        <v>299</v>
      </c>
      <c r="B566" s="2" t="s">
        <v>497</v>
      </c>
      <c r="C566" s="1">
        <v>30</v>
      </c>
      <c r="D566" s="1">
        <v>48</v>
      </c>
      <c r="E566" s="1">
        <v>0.625</v>
      </c>
    </row>
    <row r="567" spans="1:5" x14ac:dyDescent="0.45">
      <c r="A567" s="2" t="s">
        <v>82</v>
      </c>
      <c r="B567" s="2" t="s">
        <v>497</v>
      </c>
      <c r="C567" s="1">
        <v>30</v>
      </c>
      <c r="D567" s="1">
        <v>561</v>
      </c>
      <c r="E567" s="1">
        <v>5.3475935828877004E-2</v>
      </c>
    </row>
    <row r="568" spans="1:5" x14ac:dyDescent="0.45">
      <c r="A568" s="2" t="s">
        <v>55</v>
      </c>
      <c r="B568" s="2" t="s">
        <v>495</v>
      </c>
      <c r="C568" s="1">
        <v>29</v>
      </c>
      <c r="D568" s="1">
        <v>171</v>
      </c>
      <c r="E568" s="1">
        <v>0.16959064327485379</v>
      </c>
    </row>
    <row r="569" spans="1:5" x14ac:dyDescent="0.45">
      <c r="A569" s="2" t="s">
        <v>357</v>
      </c>
      <c r="B569" s="2" t="s">
        <v>497</v>
      </c>
      <c r="C569" s="1">
        <v>29</v>
      </c>
      <c r="D569" s="1">
        <v>625</v>
      </c>
      <c r="E569" s="1">
        <v>4.6399999999999997E-2</v>
      </c>
    </row>
    <row r="570" spans="1:5" x14ac:dyDescent="0.45">
      <c r="A570" s="2" t="s">
        <v>35</v>
      </c>
      <c r="B570" s="2" t="s">
        <v>498</v>
      </c>
      <c r="C570" s="1">
        <v>29</v>
      </c>
      <c r="D570" s="1">
        <v>82</v>
      </c>
      <c r="E570" s="1">
        <v>0.35365853658536583</v>
      </c>
    </row>
    <row r="571" spans="1:5" x14ac:dyDescent="0.45">
      <c r="A571" s="2" t="s">
        <v>57</v>
      </c>
      <c r="B571" s="2" t="s">
        <v>494</v>
      </c>
      <c r="C571" s="1">
        <v>29</v>
      </c>
      <c r="D571" s="1">
        <v>267</v>
      </c>
      <c r="E571" s="1">
        <v>0.10861423220973783</v>
      </c>
    </row>
    <row r="572" spans="1:5" x14ac:dyDescent="0.45">
      <c r="A572" s="2" t="s">
        <v>262</v>
      </c>
      <c r="B572" s="2" t="s">
        <v>497</v>
      </c>
      <c r="C572" s="1">
        <v>29</v>
      </c>
      <c r="D572" s="1">
        <v>216</v>
      </c>
      <c r="E572" s="1">
        <v>0.13425925925925927</v>
      </c>
    </row>
    <row r="573" spans="1:5" x14ac:dyDescent="0.45">
      <c r="A573" s="2" t="s">
        <v>86</v>
      </c>
      <c r="B573" s="2" t="s">
        <v>497</v>
      </c>
      <c r="C573" s="1">
        <v>29</v>
      </c>
      <c r="D573" s="1">
        <v>221</v>
      </c>
      <c r="E573" s="1">
        <v>0.13122171945701358</v>
      </c>
    </row>
    <row r="574" spans="1:5" x14ac:dyDescent="0.45">
      <c r="A574" s="2" t="s">
        <v>73</v>
      </c>
      <c r="B574" s="2" t="s">
        <v>495</v>
      </c>
      <c r="C574" s="1">
        <v>29</v>
      </c>
      <c r="D574" s="1">
        <v>523</v>
      </c>
      <c r="E574" s="1">
        <v>5.5449330783938815E-2</v>
      </c>
    </row>
    <row r="575" spans="1:5" x14ac:dyDescent="0.45">
      <c r="A575" s="2" t="s">
        <v>410</v>
      </c>
      <c r="B575" s="2" t="s">
        <v>494</v>
      </c>
      <c r="C575" s="1">
        <v>29</v>
      </c>
      <c r="D575" s="1">
        <v>133</v>
      </c>
      <c r="E575" s="1">
        <v>0.21804511278195488</v>
      </c>
    </row>
    <row r="576" spans="1:5" x14ac:dyDescent="0.45">
      <c r="A576" s="2" t="s">
        <v>41</v>
      </c>
      <c r="B576" s="2" t="s">
        <v>494</v>
      </c>
      <c r="C576" s="1">
        <v>29</v>
      </c>
      <c r="D576" s="1">
        <v>405</v>
      </c>
      <c r="E576" s="1">
        <v>7.160493827160494E-2</v>
      </c>
    </row>
    <row r="577" spans="1:5" x14ac:dyDescent="0.45">
      <c r="A577" s="2" t="s">
        <v>11</v>
      </c>
      <c r="B577" s="2" t="s">
        <v>495</v>
      </c>
      <c r="C577" s="1">
        <v>29</v>
      </c>
      <c r="D577" s="1">
        <v>357</v>
      </c>
      <c r="E577" s="1">
        <v>8.1232492997198882E-2</v>
      </c>
    </row>
    <row r="578" spans="1:5" x14ac:dyDescent="0.45">
      <c r="A578" s="2" t="s">
        <v>61</v>
      </c>
      <c r="B578" s="2" t="s">
        <v>498</v>
      </c>
      <c r="C578" s="1">
        <v>29</v>
      </c>
      <c r="D578" s="1">
        <v>30</v>
      </c>
      <c r="E578" s="1">
        <v>0.96666666666666667</v>
      </c>
    </row>
    <row r="579" spans="1:5" x14ac:dyDescent="0.45">
      <c r="A579" s="2" t="s">
        <v>31</v>
      </c>
      <c r="B579" s="2" t="s">
        <v>498</v>
      </c>
      <c r="C579" s="1">
        <v>29</v>
      </c>
      <c r="D579" s="1">
        <v>15</v>
      </c>
      <c r="E579" s="1">
        <v>1.9333333333333333</v>
      </c>
    </row>
    <row r="580" spans="1:5" x14ac:dyDescent="0.45">
      <c r="A580" s="2" t="s">
        <v>328</v>
      </c>
      <c r="B580" s="2" t="s">
        <v>497</v>
      </c>
      <c r="C580" s="1">
        <v>29</v>
      </c>
      <c r="D580" s="1">
        <v>661</v>
      </c>
      <c r="E580" s="1">
        <v>4.3872919818456882E-2</v>
      </c>
    </row>
    <row r="581" spans="1:5" x14ac:dyDescent="0.45">
      <c r="A581" s="2" t="s">
        <v>11</v>
      </c>
      <c r="B581" s="2" t="s">
        <v>495</v>
      </c>
      <c r="C581" s="1">
        <v>29</v>
      </c>
      <c r="D581" s="1">
        <v>554</v>
      </c>
      <c r="E581" s="1">
        <v>5.2346570397111915E-2</v>
      </c>
    </row>
    <row r="582" spans="1:5" x14ac:dyDescent="0.45">
      <c r="A582" s="2" t="s">
        <v>152</v>
      </c>
      <c r="B582" s="2" t="s">
        <v>495</v>
      </c>
      <c r="C582" s="1">
        <v>29</v>
      </c>
      <c r="D582" s="1">
        <v>366</v>
      </c>
      <c r="E582" s="1">
        <v>7.9234972677595633E-2</v>
      </c>
    </row>
    <row r="583" spans="1:5" x14ac:dyDescent="0.45">
      <c r="A583" s="2" t="s">
        <v>21</v>
      </c>
      <c r="B583" s="2" t="s">
        <v>495</v>
      </c>
      <c r="C583" s="1">
        <v>29</v>
      </c>
      <c r="D583" s="1">
        <v>229</v>
      </c>
      <c r="E583" s="1">
        <v>0.12663755458515283</v>
      </c>
    </row>
    <row r="584" spans="1:5" x14ac:dyDescent="0.45">
      <c r="A584" s="2" t="s">
        <v>328</v>
      </c>
      <c r="B584" s="2" t="s">
        <v>495</v>
      </c>
      <c r="C584" s="1">
        <v>29</v>
      </c>
      <c r="D584" s="1">
        <v>154</v>
      </c>
      <c r="E584" s="1">
        <v>0.18831168831168832</v>
      </c>
    </row>
    <row r="585" spans="1:5" x14ac:dyDescent="0.45">
      <c r="A585" s="2" t="s">
        <v>156</v>
      </c>
      <c r="B585" s="2" t="s">
        <v>496</v>
      </c>
      <c r="C585" s="1">
        <v>28</v>
      </c>
      <c r="D585" s="1">
        <v>15</v>
      </c>
      <c r="E585" s="1">
        <v>1.8666666666666667</v>
      </c>
    </row>
    <row r="586" spans="1:5" x14ac:dyDescent="0.45">
      <c r="A586" s="2" t="s">
        <v>152</v>
      </c>
      <c r="B586" s="2" t="s">
        <v>497</v>
      </c>
      <c r="C586" s="1">
        <v>28</v>
      </c>
      <c r="D586" s="1">
        <v>254</v>
      </c>
      <c r="E586" s="1">
        <v>0.11023622047244094</v>
      </c>
    </row>
    <row r="587" spans="1:5" x14ac:dyDescent="0.45">
      <c r="A587" s="2" t="s">
        <v>242</v>
      </c>
      <c r="B587" s="2" t="s">
        <v>494</v>
      </c>
      <c r="C587" s="1">
        <v>28</v>
      </c>
      <c r="D587" s="1">
        <v>90</v>
      </c>
      <c r="E587" s="1">
        <v>0.31111111111111112</v>
      </c>
    </row>
    <row r="588" spans="1:5" x14ac:dyDescent="0.45">
      <c r="A588" s="2" t="s">
        <v>31</v>
      </c>
      <c r="B588" s="2" t="s">
        <v>496</v>
      </c>
      <c r="C588" s="1">
        <v>28</v>
      </c>
      <c r="D588" s="1">
        <v>100</v>
      </c>
      <c r="E588" s="1">
        <v>0.28000000000000003</v>
      </c>
    </row>
    <row r="589" spans="1:5" x14ac:dyDescent="0.45">
      <c r="A589" s="2" t="s">
        <v>192</v>
      </c>
      <c r="B589" s="2" t="s">
        <v>497</v>
      </c>
      <c r="C589" s="1">
        <v>28</v>
      </c>
      <c r="D589" s="1">
        <v>413</v>
      </c>
      <c r="E589" s="1">
        <v>6.7796610169491525E-2</v>
      </c>
    </row>
    <row r="590" spans="1:5" x14ac:dyDescent="0.45">
      <c r="A590" s="2" t="s">
        <v>118</v>
      </c>
      <c r="B590" s="2" t="s">
        <v>497</v>
      </c>
      <c r="C590" s="1">
        <v>28</v>
      </c>
      <c r="D590" s="1">
        <v>106</v>
      </c>
      <c r="E590" s="1">
        <v>0.26415094339622641</v>
      </c>
    </row>
    <row r="591" spans="1:5" x14ac:dyDescent="0.45">
      <c r="A591" s="2" t="s">
        <v>121</v>
      </c>
      <c r="B591" s="2" t="s">
        <v>497</v>
      </c>
      <c r="C591" s="1">
        <v>28</v>
      </c>
      <c r="D591" s="1">
        <v>388</v>
      </c>
      <c r="E591" s="1">
        <v>7.2164948453608241E-2</v>
      </c>
    </row>
    <row r="592" spans="1:5" x14ac:dyDescent="0.45">
      <c r="A592" s="2" t="s">
        <v>185</v>
      </c>
      <c r="B592" s="2" t="s">
        <v>497</v>
      </c>
      <c r="C592" s="1">
        <v>27</v>
      </c>
      <c r="D592" s="1">
        <v>137</v>
      </c>
      <c r="E592" s="1">
        <v>0.19708029197080293</v>
      </c>
    </row>
    <row r="593" spans="1:5" x14ac:dyDescent="0.45">
      <c r="A593" s="2" t="s">
        <v>25</v>
      </c>
      <c r="B593" s="2" t="s">
        <v>498</v>
      </c>
      <c r="C593" s="1">
        <v>27</v>
      </c>
      <c r="D593" s="1">
        <v>162</v>
      </c>
      <c r="E593" s="1">
        <v>0.16666666666666666</v>
      </c>
    </row>
    <row r="594" spans="1:5" x14ac:dyDescent="0.45">
      <c r="A594" s="2" t="s">
        <v>209</v>
      </c>
      <c r="B594" s="2" t="s">
        <v>494</v>
      </c>
      <c r="C594" s="1">
        <v>27</v>
      </c>
      <c r="D594" s="1">
        <v>89</v>
      </c>
      <c r="E594" s="1">
        <v>0.30337078651685395</v>
      </c>
    </row>
    <row r="595" spans="1:5" x14ac:dyDescent="0.45">
      <c r="A595" s="2" t="s">
        <v>238</v>
      </c>
      <c r="B595" s="2" t="s">
        <v>497</v>
      </c>
      <c r="C595" s="1">
        <v>27</v>
      </c>
      <c r="D595" s="1">
        <v>515</v>
      </c>
      <c r="E595" s="1">
        <v>5.2427184466019419E-2</v>
      </c>
    </row>
    <row r="596" spans="1:5" x14ac:dyDescent="0.45">
      <c r="A596" s="2" t="s">
        <v>37</v>
      </c>
      <c r="B596" s="2" t="s">
        <v>497</v>
      </c>
      <c r="C596" s="1">
        <v>27</v>
      </c>
      <c r="D596" s="1">
        <v>70</v>
      </c>
      <c r="E596" s="1">
        <v>0.38571428571428573</v>
      </c>
    </row>
    <row r="597" spans="1:5" x14ac:dyDescent="0.45">
      <c r="A597" s="2" t="s">
        <v>242</v>
      </c>
      <c r="B597" s="2" t="s">
        <v>497</v>
      </c>
      <c r="C597" s="1">
        <v>27</v>
      </c>
      <c r="D597" s="1">
        <v>440</v>
      </c>
      <c r="E597" s="1">
        <v>6.1363636363636363E-2</v>
      </c>
    </row>
    <row r="598" spans="1:5" x14ac:dyDescent="0.45">
      <c r="A598" s="2" t="s">
        <v>66</v>
      </c>
      <c r="B598" s="2" t="s">
        <v>497</v>
      </c>
      <c r="C598" s="1">
        <v>27</v>
      </c>
      <c r="D598" s="1">
        <v>223</v>
      </c>
      <c r="E598" s="1">
        <v>0.1210762331838565</v>
      </c>
    </row>
    <row r="599" spans="1:5" x14ac:dyDescent="0.45">
      <c r="A599" s="2" t="s">
        <v>25</v>
      </c>
      <c r="B599" s="2" t="s">
        <v>496</v>
      </c>
      <c r="C599" s="1">
        <v>27</v>
      </c>
      <c r="D599" s="1">
        <v>363</v>
      </c>
      <c r="E599" s="1">
        <v>7.43801652892562E-2</v>
      </c>
    </row>
    <row r="600" spans="1:5" x14ac:dyDescent="0.45">
      <c r="A600" s="2" t="s">
        <v>262</v>
      </c>
      <c r="B600" s="2" t="s">
        <v>498</v>
      </c>
      <c r="C600" s="1">
        <v>27</v>
      </c>
      <c r="D600" s="1">
        <v>96</v>
      </c>
      <c r="E600" s="1">
        <v>0.28125</v>
      </c>
    </row>
    <row r="601" spans="1:5" x14ac:dyDescent="0.45">
      <c r="A601" s="2" t="s">
        <v>121</v>
      </c>
      <c r="B601" s="2" t="s">
        <v>497</v>
      </c>
      <c r="C601" s="1">
        <v>26</v>
      </c>
      <c r="D601" s="1">
        <v>77</v>
      </c>
      <c r="E601" s="1">
        <v>0.33766233766233766</v>
      </c>
    </row>
    <row r="602" spans="1:5" x14ac:dyDescent="0.45">
      <c r="A602" s="2" t="s">
        <v>113</v>
      </c>
      <c r="B602" s="2" t="s">
        <v>498</v>
      </c>
      <c r="C602" s="1">
        <v>26</v>
      </c>
      <c r="D602" s="1">
        <v>837</v>
      </c>
      <c r="E602" s="1">
        <v>3.106332138590203E-2</v>
      </c>
    </row>
    <row r="603" spans="1:5" x14ac:dyDescent="0.45">
      <c r="A603" s="2" t="s">
        <v>137</v>
      </c>
      <c r="B603" s="2" t="s">
        <v>498</v>
      </c>
      <c r="C603" s="1">
        <v>26</v>
      </c>
      <c r="D603" s="1">
        <v>56</v>
      </c>
      <c r="E603" s="1">
        <v>0.4642857142857143</v>
      </c>
    </row>
    <row r="604" spans="1:5" x14ac:dyDescent="0.45">
      <c r="A604" s="2" t="s">
        <v>47</v>
      </c>
      <c r="B604" s="2" t="s">
        <v>495</v>
      </c>
      <c r="C604" s="1">
        <v>26</v>
      </c>
      <c r="D604" s="1">
        <v>260</v>
      </c>
      <c r="E604" s="1">
        <v>0.1</v>
      </c>
    </row>
    <row r="605" spans="1:5" x14ac:dyDescent="0.45">
      <c r="A605" s="2" t="s">
        <v>140</v>
      </c>
      <c r="B605" s="2" t="s">
        <v>494</v>
      </c>
      <c r="C605" s="1">
        <v>26</v>
      </c>
      <c r="D605" s="1">
        <v>12</v>
      </c>
      <c r="E605" s="1">
        <v>2.1666666666666665</v>
      </c>
    </row>
    <row r="606" spans="1:5" x14ac:dyDescent="0.45">
      <c r="A606" s="2" t="s">
        <v>289</v>
      </c>
      <c r="B606" s="2" t="s">
        <v>496</v>
      </c>
      <c r="C606" s="1">
        <v>26</v>
      </c>
      <c r="D606" s="1">
        <v>283</v>
      </c>
      <c r="E606" s="1">
        <v>9.187279151943463E-2</v>
      </c>
    </row>
    <row r="607" spans="1:5" x14ac:dyDescent="0.45">
      <c r="A607" s="2" t="s">
        <v>242</v>
      </c>
      <c r="B607" s="2" t="s">
        <v>494</v>
      </c>
      <c r="C607" s="1">
        <v>26</v>
      </c>
      <c r="D607" s="1">
        <v>108</v>
      </c>
      <c r="E607" s="1">
        <v>0.24074074074074073</v>
      </c>
    </row>
    <row r="608" spans="1:5" x14ac:dyDescent="0.45">
      <c r="A608" s="2" t="s">
        <v>19</v>
      </c>
      <c r="B608" s="2" t="s">
        <v>495</v>
      </c>
      <c r="C608" s="1">
        <v>26</v>
      </c>
      <c r="D608" s="1">
        <v>133</v>
      </c>
      <c r="E608" s="1">
        <v>0.19548872180451127</v>
      </c>
    </row>
    <row r="609" spans="1:5" x14ac:dyDescent="0.45">
      <c r="A609" s="2" t="s">
        <v>110</v>
      </c>
      <c r="B609" s="2" t="s">
        <v>498</v>
      </c>
      <c r="C609" s="1">
        <v>26</v>
      </c>
      <c r="D609" s="1">
        <v>31</v>
      </c>
      <c r="E609" s="1">
        <v>0.83870967741935487</v>
      </c>
    </row>
    <row r="610" spans="1:5" x14ac:dyDescent="0.45">
      <c r="A610" s="2" t="s">
        <v>57</v>
      </c>
      <c r="B610" s="2" t="s">
        <v>497</v>
      </c>
      <c r="C610" s="1">
        <v>26</v>
      </c>
      <c r="D610" s="1">
        <v>354</v>
      </c>
      <c r="E610" s="1">
        <v>7.3446327683615822E-2</v>
      </c>
    </row>
    <row r="611" spans="1:5" x14ac:dyDescent="0.45">
      <c r="A611" s="2" t="s">
        <v>27</v>
      </c>
      <c r="B611" s="2" t="s">
        <v>494</v>
      </c>
      <c r="C611" s="1">
        <v>25</v>
      </c>
      <c r="D611" s="1">
        <v>466</v>
      </c>
      <c r="E611" s="1">
        <v>5.3648068669527899E-2</v>
      </c>
    </row>
    <row r="612" spans="1:5" x14ac:dyDescent="0.45">
      <c r="A612" s="2" t="s">
        <v>240</v>
      </c>
      <c r="B612" s="2" t="s">
        <v>496</v>
      </c>
      <c r="C612" s="1">
        <v>25</v>
      </c>
      <c r="D612" s="1">
        <v>607</v>
      </c>
      <c r="E612" s="1">
        <v>4.118616144975288E-2</v>
      </c>
    </row>
    <row r="613" spans="1:5" x14ac:dyDescent="0.45">
      <c r="A613" s="2" t="s">
        <v>262</v>
      </c>
      <c r="B613" s="2" t="s">
        <v>494</v>
      </c>
      <c r="C613" s="1">
        <v>25</v>
      </c>
      <c r="D613" s="1">
        <v>816</v>
      </c>
      <c r="E613" s="1">
        <v>3.0637254901960783E-2</v>
      </c>
    </row>
    <row r="614" spans="1:5" x14ac:dyDescent="0.45">
      <c r="A614" s="2" t="s">
        <v>185</v>
      </c>
      <c r="B614" s="2" t="s">
        <v>498</v>
      </c>
      <c r="C614" s="1">
        <v>25</v>
      </c>
      <c r="D614" s="1">
        <v>240</v>
      </c>
      <c r="E614" s="1">
        <v>0.10416666666666667</v>
      </c>
    </row>
    <row r="615" spans="1:5" x14ac:dyDescent="0.45">
      <c r="A615" s="2" t="s">
        <v>352</v>
      </c>
      <c r="B615" s="2" t="s">
        <v>494</v>
      </c>
      <c r="C615" s="1">
        <v>25</v>
      </c>
      <c r="D615" s="1">
        <v>33</v>
      </c>
      <c r="E615" s="1">
        <v>0.75757575757575757</v>
      </c>
    </row>
    <row r="616" spans="1:5" x14ac:dyDescent="0.45">
      <c r="A616" s="2" t="s">
        <v>8</v>
      </c>
      <c r="B616" s="2" t="s">
        <v>498</v>
      </c>
      <c r="C616" s="1">
        <v>25</v>
      </c>
      <c r="D616" s="1">
        <v>419</v>
      </c>
      <c r="E616" s="1">
        <v>5.9665871121718374E-2</v>
      </c>
    </row>
    <row r="617" spans="1:5" x14ac:dyDescent="0.45">
      <c r="A617" s="2" t="s">
        <v>165</v>
      </c>
      <c r="B617" s="2" t="s">
        <v>494</v>
      </c>
      <c r="C617" s="1">
        <v>25</v>
      </c>
      <c r="D617" s="1">
        <v>185</v>
      </c>
      <c r="E617" s="1">
        <v>0.13513513513513514</v>
      </c>
    </row>
    <row r="618" spans="1:5" x14ac:dyDescent="0.45">
      <c r="A618" s="2" t="s">
        <v>219</v>
      </c>
      <c r="B618" s="2" t="s">
        <v>495</v>
      </c>
      <c r="C618" s="1">
        <v>25</v>
      </c>
      <c r="D618" s="1">
        <v>385</v>
      </c>
      <c r="E618" s="1">
        <v>6.4935064935064929E-2</v>
      </c>
    </row>
    <row r="619" spans="1:5" x14ac:dyDescent="0.45">
      <c r="A619" s="2" t="s">
        <v>146</v>
      </c>
      <c r="B619" s="2" t="s">
        <v>498</v>
      </c>
      <c r="C619" s="1">
        <v>25</v>
      </c>
      <c r="D619" s="1">
        <v>363</v>
      </c>
      <c r="E619" s="1">
        <v>6.8870523415977963E-2</v>
      </c>
    </row>
    <row r="620" spans="1:5" x14ac:dyDescent="0.45">
      <c r="A620" s="2" t="s">
        <v>82</v>
      </c>
      <c r="B620" s="2" t="s">
        <v>497</v>
      </c>
      <c r="C620" s="1">
        <v>25</v>
      </c>
      <c r="D620" s="1">
        <v>123</v>
      </c>
      <c r="E620" s="1">
        <v>0.2032520325203252</v>
      </c>
    </row>
    <row r="621" spans="1:5" x14ac:dyDescent="0.45">
      <c r="A621" s="2" t="s">
        <v>146</v>
      </c>
      <c r="B621" s="2" t="s">
        <v>498</v>
      </c>
      <c r="C621" s="1">
        <v>25</v>
      </c>
      <c r="D621" s="1">
        <v>185</v>
      </c>
      <c r="E621" s="1">
        <v>0.13513513513513514</v>
      </c>
    </row>
    <row r="622" spans="1:5" x14ac:dyDescent="0.45">
      <c r="A622" s="2" t="s">
        <v>118</v>
      </c>
      <c r="B622" s="2" t="s">
        <v>496</v>
      </c>
      <c r="C622" s="1">
        <v>25</v>
      </c>
      <c r="D622" s="1">
        <v>56</v>
      </c>
      <c r="E622" s="1">
        <v>0.44642857142857145</v>
      </c>
    </row>
    <row r="623" spans="1:5" x14ac:dyDescent="0.45">
      <c r="A623" s="2" t="s">
        <v>165</v>
      </c>
      <c r="B623" s="2" t="s">
        <v>494</v>
      </c>
      <c r="C623" s="1">
        <v>25</v>
      </c>
      <c r="D623" s="1">
        <v>212</v>
      </c>
      <c r="E623" s="1">
        <v>0.11792452830188679</v>
      </c>
    </row>
    <row r="624" spans="1:5" x14ac:dyDescent="0.45">
      <c r="A624" s="2" t="s">
        <v>57</v>
      </c>
      <c r="B624" s="2" t="s">
        <v>495</v>
      </c>
      <c r="C624" s="1">
        <v>24</v>
      </c>
      <c r="D624" s="1">
        <v>119</v>
      </c>
      <c r="E624" s="1">
        <v>0.20168067226890757</v>
      </c>
    </row>
    <row r="625" spans="1:5" x14ac:dyDescent="0.45">
      <c r="A625" s="2" t="s">
        <v>171</v>
      </c>
      <c r="B625" s="2" t="s">
        <v>495</v>
      </c>
      <c r="C625" s="1">
        <v>24</v>
      </c>
      <c r="D625" s="1">
        <v>356</v>
      </c>
      <c r="E625" s="1">
        <v>6.741573033707865E-2</v>
      </c>
    </row>
    <row r="626" spans="1:5" x14ac:dyDescent="0.45">
      <c r="A626" s="2" t="s">
        <v>291</v>
      </c>
      <c r="B626" s="2" t="s">
        <v>497</v>
      </c>
      <c r="C626" s="1">
        <v>24</v>
      </c>
      <c r="D626" s="1">
        <v>44</v>
      </c>
      <c r="E626" s="1">
        <v>0.54545454545454541</v>
      </c>
    </row>
    <row r="627" spans="1:5" x14ac:dyDescent="0.45">
      <c r="A627" s="2" t="s">
        <v>25</v>
      </c>
      <c r="B627" s="2" t="s">
        <v>498</v>
      </c>
      <c r="C627" s="1">
        <v>24</v>
      </c>
      <c r="D627" s="1">
        <v>102</v>
      </c>
      <c r="E627" s="1">
        <v>0.23529411764705882</v>
      </c>
    </row>
    <row r="628" spans="1:5" x14ac:dyDescent="0.45">
      <c r="A628" s="2" t="s">
        <v>25</v>
      </c>
      <c r="B628" s="2" t="s">
        <v>497</v>
      </c>
      <c r="C628" s="1">
        <v>24</v>
      </c>
      <c r="D628" s="1">
        <v>31</v>
      </c>
      <c r="E628" s="1">
        <v>0.77419354838709675</v>
      </c>
    </row>
    <row r="629" spans="1:5" x14ac:dyDescent="0.45">
      <c r="A629" s="2" t="s">
        <v>37</v>
      </c>
      <c r="B629" s="2" t="s">
        <v>495</v>
      </c>
      <c r="C629" s="1">
        <v>24</v>
      </c>
      <c r="D629" s="1">
        <v>77</v>
      </c>
      <c r="E629" s="1">
        <v>0.31168831168831168</v>
      </c>
    </row>
    <row r="630" spans="1:5" x14ac:dyDescent="0.45">
      <c r="A630" s="2" t="s">
        <v>146</v>
      </c>
      <c r="B630" s="2" t="s">
        <v>496</v>
      </c>
      <c r="C630" s="1">
        <v>24</v>
      </c>
      <c r="D630" s="1">
        <v>169</v>
      </c>
      <c r="E630" s="1">
        <v>0.14201183431952663</v>
      </c>
    </row>
    <row r="631" spans="1:5" x14ac:dyDescent="0.45">
      <c r="A631" s="2" t="s">
        <v>71</v>
      </c>
      <c r="B631" s="2" t="s">
        <v>494</v>
      </c>
      <c r="C631" s="1">
        <v>24</v>
      </c>
      <c r="D631" s="1">
        <v>416</v>
      </c>
      <c r="E631" s="1">
        <v>5.7692307692307696E-2</v>
      </c>
    </row>
    <row r="632" spans="1:5" x14ac:dyDescent="0.45">
      <c r="A632" s="2" t="s">
        <v>252</v>
      </c>
      <c r="B632" s="2" t="s">
        <v>496</v>
      </c>
      <c r="C632" s="1">
        <v>24</v>
      </c>
      <c r="D632" s="1">
        <v>510</v>
      </c>
      <c r="E632" s="1">
        <v>4.7058823529411764E-2</v>
      </c>
    </row>
    <row r="633" spans="1:5" x14ac:dyDescent="0.45">
      <c r="A633" s="2" t="s">
        <v>89</v>
      </c>
      <c r="B633" s="2" t="s">
        <v>496</v>
      </c>
      <c r="C633" s="1">
        <v>24</v>
      </c>
      <c r="D633" s="1">
        <v>258</v>
      </c>
      <c r="E633" s="1">
        <v>9.3023255813953487E-2</v>
      </c>
    </row>
    <row r="634" spans="1:5" x14ac:dyDescent="0.45">
      <c r="A634" s="2" t="s">
        <v>75</v>
      </c>
      <c r="B634" s="2" t="s">
        <v>496</v>
      </c>
      <c r="C634" s="1">
        <v>23</v>
      </c>
      <c r="D634" s="1">
        <v>78</v>
      </c>
      <c r="E634" s="1">
        <v>0.29487179487179488</v>
      </c>
    </row>
    <row r="635" spans="1:5" x14ac:dyDescent="0.45">
      <c r="A635" s="2" t="s">
        <v>176</v>
      </c>
      <c r="B635" s="2" t="s">
        <v>494</v>
      </c>
      <c r="C635" s="1">
        <v>23</v>
      </c>
      <c r="D635" s="1">
        <v>517</v>
      </c>
      <c r="E635" s="1">
        <v>4.4487427466150871E-2</v>
      </c>
    </row>
    <row r="636" spans="1:5" x14ac:dyDescent="0.45">
      <c r="A636" s="2" t="s">
        <v>277</v>
      </c>
      <c r="B636" s="2" t="s">
        <v>495</v>
      </c>
      <c r="C636" s="1">
        <v>23</v>
      </c>
      <c r="D636" s="1">
        <v>284</v>
      </c>
      <c r="E636" s="1">
        <v>8.098591549295775E-2</v>
      </c>
    </row>
    <row r="637" spans="1:5" x14ac:dyDescent="0.45">
      <c r="A637" s="2" t="s">
        <v>410</v>
      </c>
      <c r="B637" s="2" t="s">
        <v>498</v>
      </c>
      <c r="C637" s="1">
        <v>23</v>
      </c>
      <c r="D637" s="1">
        <v>88</v>
      </c>
      <c r="E637" s="1">
        <v>0.26136363636363635</v>
      </c>
    </row>
    <row r="638" spans="1:5" x14ac:dyDescent="0.45">
      <c r="A638" s="2" t="s">
        <v>165</v>
      </c>
      <c r="B638" s="2" t="s">
        <v>494</v>
      </c>
      <c r="C638" s="1">
        <v>23</v>
      </c>
      <c r="D638" s="1">
        <v>240</v>
      </c>
      <c r="E638" s="1">
        <v>9.583333333333334E-2</v>
      </c>
    </row>
    <row r="639" spans="1:5" x14ac:dyDescent="0.45">
      <c r="A639" s="2" t="s">
        <v>49</v>
      </c>
      <c r="B639" s="2" t="s">
        <v>495</v>
      </c>
      <c r="C639" s="1">
        <v>23</v>
      </c>
      <c r="D639" s="1">
        <v>83</v>
      </c>
      <c r="E639" s="1">
        <v>0.27710843373493976</v>
      </c>
    </row>
    <row r="640" spans="1:5" x14ac:dyDescent="0.45">
      <c r="A640" s="2" t="s">
        <v>196</v>
      </c>
      <c r="B640" s="2" t="s">
        <v>496</v>
      </c>
      <c r="C640" s="1">
        <v>23</v>
      </c>
      <c r="D640" s="1">
        <v>40</v>
      </c>
      <c r="E640" s="1">
        <v>0.57499999999999996</v>
      </c>
    </row>
    <row r="641" spans="1:5" x14ac:dyDescent="0.45">
      <c r="A641" s="2" t="s">
        <v>238</v>
      </c>
      <c r="B641" s="2" t="s">
        <v>498</v>
      </c>
      <c r="C641" s="1">
        <v>22</v>
      </c>
      <c r="D641" s="1">
        <v>4</v>
      </c>
      <c r="E641" s="1">
        <v>5.5</v>
      </c>
    </row>
    <row r="642" spans="1:5" x14ac:dyDescent="0.45">
      <c r="A642" s="2" t="s">
        <v>209</v>
      </c>
      <c r="B642" s="2" t="s">
        <v>497</v>
      </c>
      <c r="C642" s="1">
        <v>22</v>
      </c>
      <c r="D642" s="1">
        <v>898</v>
      </c>
      <c r="E642" s="1">
        <v>2.4498886414253896E-2</v>
      </c>
    </row>
    <row r="643" spans="1:5" x14ac:dyDescent="0.45">
      <c r="A643" s="2" t="s">
        <v>339</v>
      </c>
      <c r="B643" s="2" t="s">
        <v>497</v>
      </c>
      <c r="C643" s="1">
        <v>22</v>
      </c>
      <c r="D643" s="1">
        <v>103</v>
      </c>
      <c r="E643" s="1">
        <v>0.21359223300970873</v>
      </c>
    </row>
    <row r="644" spans="1:5" x14ac:dyDescent="0.45">
      <c r="A644" s="2" t="s">
        <v>29</v>
      </c>
      <c r="B644" s="2" t="s">
        <v>498</v>
      </c>
      <c r="C644" s="1">
        <v>22</v>
      </c>
      <c r="D644" s="1">
        <v>202</v>
      </c>
      <c r="E644" s="1">
        <v>0.10891089108910891</v>
      </c>
    </row>
    <row r="645" spans="1:5" x14ac:dyDescent="0.45">
      <c r="A645" s="2" t="s">
        <v>37</v>
      </c>
      <c r="B645" s="2" t="s">
        <v>494</v>
      </c>
      <c r="C645" s="1">
        <v>22</v>
      </c>
      <c r="D645" s="1">
        <v>17</v>
      </c>
      <c r="E645" s="1">
        <v>1.2941176470588236</v>
      </c>
    </row>
    <row r="646" spans="1:5" x14ac:dyDescent="0.45">
      <c r="A646" s="2" t="s">
        <v>176</v>
      </c>
      <c r="B646" s="2" t="s">
        <v>494</v>
      </c>
      <c r="C646" s="1">
        <v>22</v>
      </c>
      <c r="D646" s="1">
        <v>361</v>
      </c>
      <c r="E646" s="1">
        <v>6.0941828254847646E-2</v>
      </c>
    </row>
    <row r="647" spans="1:5" x14ac:dyDescent="0.45">
      <c r="A647" s="2" t="s">
        <v>118</v>
      </c>
      <c r="B647" s="2" t="s">
        <v>495</v>
      </c>
      <c r="C647" s="1">
        <v>22</v>
      </c>
      <c r="D647" s="1">
        <v>631</v>
      </c>
      <c r="E647" s="1">
        <v>3.486529318541997E-2</v>
      </c>
    </row>
    <row r="648" spans="1:5" x14ac:dyDescent="0.45">
      <c r="A648" s="2" t="s">
        <v>121</v>
      </c>
      <c r="B648" s="2" t="s">
        <v>494</v>
      </c>
      <c r="C648" s="1">
        <v>22</v>
      </c>
      <c r="D648" s="1">
        <v>504</v>
      </c>
      <c r="E648" s="1">
        <v>4.3650793650793648E-2</v>
      </c>
    </row>
    <row r="649" spans="1:5" x14ac:dyDescent="0.45">
      <c r="A649" s="2" t="s">
        <v>152</v>
      </c>
      <c r="B649" s="2" t="s">
        <v>497</v>
      </c>
      <c r="C649" s="1">
        <v>21</v>
      </c>
      <c r="D649" s="1">
        <v>875</v>
      </c>
      <c r="E649" s="1">
        <v>2.4E-2</v>
      </c>
    </row>
    <row r="650" spans="1:5" x14ac:dyDescent="0.45">
      <c r="A650" s="2" t="s">
        <v>152</v>
      </c>
      <c r="B650" s="2" t="s">
        <v>498</v>
      </c>
      <c r="C650" s="1">
        <v>21</v>
      </c>
      <c r="D650" s="1">
        <v>96</v>
      </c>
      <c r="E650" s="1">
        <v>0.21875</v>
      </c>
    </row>
    <row r="651" spans="1:5" x14ac:dyDescent="0.45">
      <c r="A651" s="2" t="s">
        <v>222</v>
      </c>
      <c r="B651" s="2" t="s">
        <v>495</v>
      </c>
      <c r="C651" s="1">
        <v>21</v>
      </c>
      <c r="D651" s="1">
        <v>603</v>
      </c>
      <c r="E651" s="1">
        <v>3.482587064676617E-2</v>
      </c>
    </row>
    <row r="652" spans="1:5" x14ac:dyDescent="0.45">
      <c r="A652" s="2" t="s">
        <v>331</v>
      </c>
      <c r="B652" s="2" t="s">
        <v>497</v>
      </c>
      <c r="C652" s="1">
        <v>21</v>
      </c>
      <c r="D652" s="1">
        <v>44</v>
      </c>
      <c r="E652" s="1">
        <v>0.47727272727272729</v>
      </c>
    </row>
    <row r="653" spans="1:5" x14ac:dyDescent="0.45">
      <c r="A653" s="2" t="s">
        <v>57</v>
      </c>
      <c r="B653" s="2" t="s">
        <v>497</v>
      </c>
      <c r="C653" s="1">
        <v>21</v>
      </c>
      <c r="D653" s="1">
        <v>69</v>
      </c>
      <c r="E653" s="1">
        <v>0.30434782608695654</v>
      </c>
    </row>
    <row r="654" spans="1:5" x14ac:dyDescent="0.45">
      <c r="A654" s="2" t="s">
        <v>123</v>
      </c>
      <c r="B654" s="2" t="s">
        <v>498</v>
      </c>
      <c r="C654" s="1">
        <v>21</v>
      </c>
      <c r="D654" s="1">
        <v>221</v>
      </c>
      <c r="E654" s="1">
        <v>9.5022624434389136E-2</v>
      </c>
    </row>
    <row r="655" spans="1:5" x14ac:dyDescent="0.45">
      <c r="A655" s="2" t="s">
        <v>37</v>
      </c>
      <c r="B655" s="2" t="s">
        <v>496</v>
      </c>
      <c r="C655" s="1">
        <v>20</v>
      </c>
      <c r="D655" s="1">
        <v>251</v>
      </c>
      <c r="E655" s="1">
        <v>7.9681274900398405E-2</v>
      </c>
    </row>
    <row r="656" spans="1:5" x14ac:dyDescent="0.45">
      <c r="A656" s="2" t="s">
        <v>233</v>
      </c>
      <c r="B656" s="2" t="s">
        <v>495</v>
      </c>
      <c r="C656" s="1">
        <v>20</v>
      </c>
      <c r="D656" s="1">
        <v>406</v>
      </c>
      <c r="E656" s="1">
        <v>4.9261083743842367E-2</v>
      </c>
    </row>
    <row r="657" spans="1:5" x14ac:dyDescent="0.45">
      <c r="A657" s="2" t="s">
        <v>160</v>
      </c>
      <c r="B657" s="2" t="s">
        <v>494</v>
      </c>
      <c r="C657" s="1">
        <v>20</v>
      </c>
      <c r="D657" s="1">
        <v>34</v>
      </c>
      <c r="E657" s="1">
        <v>0.58823529411764708</v>
      </c>
    </row>
    <row r="658" spans="1:5" x14ac:dyDescent="0.45">
      <c r="A658" s="2" t="s">
        <v>339</v>
      </c>
      <c r="B658" s="2" t="s">
        <v>495</v>
      </c>
      <c r="C658" s="1">
        <v>20</v>
      </c>
      <c r="D658" s="1">
        <v>559</v>
      </c>
      <c r="E658" s="1">
        <v>3.5778175313059032E-2</v>
      </c>
    </row>
    <row r="659" spans="1:5" x14ac:dyDescent="0.45">
      <c r="A659" s="2" t="s">
        <v>176</v>
      </c>
      <c r="B659" s="2" t="s">
        <v>495</v>
      </c>
      <c r="C659" s="1">
        <v>20</v>
      </c>
      <c r="D659" s="1">
        <v>382</v>
      </c>
      <c r="E659" s="1">
        <v>5.2356020942408377E-2</v>
      </c>
    </row>
    <row r="660" spans="1:5" x14ac:dyDescent="0.45">
      <c r="A660" s="2" t="s">
        <v>499</v>
      </c>
      <c r="B660" s="2" t="s">
        <v>494</v>
      </c>
      <c r="C660" s="1">
        <v>20</v>
      </c>
      <c r="D660" s="1">
        <v>205</v>
      </c>
      <c r="E660" s="1">
        <v>9.7560975609756101E-2</v>
      </c>
    </row>
    <row r="661" spans="1:5" x14ac:dyDescent="0.45">
      <c r="A661" s="2" t="s">
        <v>121</v>
      </c>
      <c r="B661" s="2" t="s">
        <v>494</v>
      </c>
      <c r="C661" s="1">
        <v>20</v>
      </c>
      <c r="D661" s="1">
        <v>767</v>
      </c>
      <c r="E661" s="1">
        <v>2.607561929595828E-2</v>
      </c>
    </row>
    <row r="662" spans="1:5" x14ac:dyDescent="0.45">
      <c r="A662" s="2" t="s">
        <v>53</v>
      </c>
      <c r="B662" s="2" t="s">
        <v>495</v>
      </c>
      <c r="C662" s="1">
        <v>20</v>
      </c>
      <c r="D662" s="1">
        <v>72</v>
      </c>
      <c r="E662" s="1">
        <v>0.27777777777777779</v>
      </c>
    </row>
    <row r="663" spans="1:5" x14ac:dyDescent="0.45">
      <c r="A663" s="2" t="s">
        <v>104</v>
      </c>
      <c r="B663" s="2" t="s">
        <v>496</v>
      </c>
      <c r="C663" s="1">
        <v>20</v>
      </c>
      <c r="D663" s="1">
        <v>576</v>
      </c>
      <c r="E663" s="1">
        <v>3.4722222222222224E-2</v>
      </c>
    </row>
    <row r="664" spans="1:5" x14ac:dyDescent="0.45">
      <c r="A664" s="2" t="s">
        <v>35</v>
      </c>
      <c r="B664" s="2" t="s">
        <v>498</v>
      </c>
      <c r="C664" s="1">
        <v>20</v>
      </c>
      <c r="D664" s="1">
        <v>104</v>
      </c>
      <c r="E664" s="1">
        <v>0.19230769230769232</v>
      </c>
    </row>
    <row r="665" spans="1:5" x14ac:dyDescent="0.45">
      <c r="A665" s="2" t="s">
        <v>86</v>
      </c>
      <c r="B665" s="2" t="s">
        <v>498</v>
      </c>
      <c r="C665" s="1">
        <v>20</v>
      </c>
      <c r="D665" s="1">
        <v>171</v>
      </c>
      <c r="E665" s="1">
        <v>0.11695906432748537</v>
      </c>
    </row>
    <row r="666" spans="1:5" x14ac:dyDescent="0.45">
      <c r="A666" s="2" t="s">
        <v>339</v>
      </c>
      <c r="B666" s="2" t="s">
        <v>495</v>
      </c>
      <c r="C666" s="1">
        <v>20</v>
      </c>
      <c r="D666" s="1">
        <v>505</v>
      </c>
      <c r="E666" s="1">
        <v>3.9603960396039604E-2</v>
      </c>
    </row>
    <row r="667" spans="1:5" x14ac:dyDescent="0.45">
      <c r="A667" s="2" t="s">
        <v>82</v>
      </c>
      <c r="B667" s="2" t="s">
        <v>498</v>
      </c>
      <c r="C667" s="1">
        <v>19</v>
      </c>
      <c r="D667" s="1">
        <v>573</v>
      </c>
      <c r="E667" s="1">
        <v>3.3158813263525308E-2</v>
      </c>
    </row>
    <row r="668" spans="1:5" x14ac:dyDescent="0.45">
      <c r="A668" s="2" t="s">
        <v>160</v>
      </c>
      <c r="B668" s="2" t="s">
        <v>498</v>
      </c>
      <c r="C668" s="1">
        <v>19</v>
      </c>
      <c r="D668" s="1">
        <v>425</v>
      </c>
      <c r="E668" s="1">
        <v>4.4705882352941179E-2</v>
      </c>
    </row>
    <row r="669" spans="1:5" x14ac:dyDescent="0.45">
      <c r="A669" s="2" t="s">
        <v>280</v>
      </c>
      <c r="B669" s="2" t="s">
        <v>494</v>
      </c>
      <c r="C669" s="1">
        <v>19</v>
      </c>
      <c r="D669" s="1">
        <v>416</v>
      </c>
      <c r="E669" s="1">
        <v>4.567307692307692E-2</v>
      </c>
    </row>
    <row r="670" spans="1:5" x14ac:dyDescent="0.45">
      <c r="A670" s="2" t="s">
        <v>79</v>
      </c>
      <c r="B670" s="2" t="s">
        <v>494</v>
      </c>
      <c r="C670" s="1">
        <v>19</v>
      </c>
      <c r="D670" s="1">
        <v>157</v>
      </c>
      <c r="E670" s="1">
        <v>0.12101910828025478</v>
      </c>
    </row>
    <row r="671" spans="1:5" x14ac:dyDescent="0.45">
      <c r="A671" s="2" t="s">
        <v>33</v>
      </c>
      <c r="B671" s="2" t="s">
        <v>494</v>
      </c>
      <c r="C671" s="1">
        <v>19</v>
      </c>
      <c r="D671" s="1">
        <v>757</v>
      </c>
      <c r="E671" s="1">
        <v>2.5099075297225892E-2</v>
      </c>
    </row>
    <row r="672" spans="1:5" x14ac:dyDescent="0.45">
      <c r="A672" s="2" t="s">
        <v>433</v>
      </c>
      <c r="B672" s="2" t="s">
        <v>496</v>
      </c>
      <c r="C672" s="1">
        <v>19</v>
      </c>
      <c r="D672" s="1">
        <v>0</v>
      </c>
    </row>
    <row r="673" spans="1:5" x14ac:dyDescent="0.45">
      <c r="A673" s="2" t="s">
        <v>152</v>
      </c>
      <c r="B673" s="2" t="s">
        <v>498</v>
      </c>
      <c r="C673" s="1">
        <v>19</v>
      </c>
      <c r="D673" s="1">
        <v>346</v>
      </c>
      <c r="E673" s="1">
        <v>5.4913294797687862E-2</v>
      </c>
    </row>
    <row r="674" spans="1:5" x14ac:dyDescent="0.45">
      <c r="A674" s="2" t="s">
        <v>21</v>
      </c>
      <c r="B674" s="2" t="s">
        <v>498</v>
      </c>
      <c r="C674" s="1">
        <v>19</v>
      </c>
      <c r="D674" s="1">
        <v>401</v>
      </c>
      <c r="E674" s="1">
        <v>4.738154613466334E-2</v>
      </c>
    </row>
    <row r="675" spans="1:5" x14ac:dyDescent="0.45">
      <c r="A675" s="2" t="s">
        <v>410</v>
      </c>
      <c r="B675" s="2" t="s">
        <v>494</v>
      </c>
      <c r="C675" s="1">
        <v>19</v>
      </c>
      <c r="D675" s="1">
        <v>147</v>
      </c>
      <c r="E675" s="1">
        <v>0.12925170068027211</v>
      </c>
    </row>
    <row r="676" spans="1:5" x14ac:dyDescent="0.45">
      <c r="A676" s="2" t="s">
        <v>69</v>
      </c>
      <c r="B676" s="2" t="s">
        <v>496</v>
      </c>
      <c r="C676" s="1">
        <v>19</v>
      </c>
      <c r="D676" s="1">
        <v>562</v>
      </c>
      <c r="E676" s="1">
        <v>3.3807829181494664E-2</v>
      </c>
    </row>
    <row r="677" spans="1:5" x14ac:dyDescent="0.45">
      <c r="A677" s="2" t="s">
        <v>219</v>
      </c>
      <c r="B677" s="2" t="s">
        <v>496</v>
      </c>
      <c r="C677" s="1">
        <v>18</v>
      </c>
      <c r="D677" s="1">
        <v>454</v>
      </c>
      <c r="E677" s="1">
        <v>3.9647577092511016E-2</v>
      </c>
    </row>
    <row r="678" spans="1:5" x14ac:dyDescent="0.45">
      <c r="A678" s="2" t="s">
        <v>91</v>
      </c>
      <c r="B678" s="2" t="s">
        <v>497</v>
      </c>
      <c r="C678" s="1">
        <v>18</v>
      </c>
      <c r="D678" s="1">
        <v>422</v>
      </c>
      <c r="E678" s="1">
        <v>4.2654028436018961E-2</v>
      </c>
    </row>
    <row r="679" spans="1:5" x14ac:dyDescent="0.45">
      <c r="A679" s="2" t="s">
        <v>185</v>
      </c>
      <c r="B679" s="2" t="s">
        <v>498</v>
      </c>
      <c r="C679" s="1">
        <v>18</v>
      </c>
      <c r="D679" s="1">
        <v>246</v>
      </c>
      <c r="E679" s="1">
        <v>7.3170731707317069E-2</v>
      </c>
    </row>
    <row r="680" spans="1:5" x14ac:dyDescent="0.45">
      <c r="A680" s="2" t="s">
        <v>47</v>
      </c>
      <c r="B680" s="2" t="s">
        <v>495</v>
      </c>
      <c r="C680" s="1">
        <v>18</v>
      </c>
      <c r="D680" s="1">
        <v>476</v>
      </c>
      <c r="E680" s="1">
        <v>3.7815126050420166E-2</v>
      </c>
    </row>
    <row r="681" spans="1:5" x14ac:dyDescent="0.45">
      <c r="A681" s="2" t="s">
        <v>280</v>
      </c>
      <c r="B681" s="2" t="s">
        <v>495</v>
      </c>
      <c r="C681" s="1">
        <v>18</v>
      </c>
      <c r="D681" s="1">
        <v>320</v>
      </c>
      <c r="E681" s="1">
        <v>5.6250000000000001E-2</v>
      </c>
    </row>
    <row r="682" spans="1:5" x14ac:dyDescent="0.45">
      <c r="A682" s="2" t="s">
        <v>108</v>
      </c>
      <c r="B682" s="2" t="s">
        <v>495</v>
      </c>
      <c r="C682" s="1">
        <v>18</v>
      </c>
      <c r="D682" s="1">
        <v>468</v>
      </c>
      <c r="E682" s="1">
        <v>3.8461538461538464E-2</v>
      </c>
    </row>
    <row r="683" spans="1:5" x14ac:dyDescent="0.45">
      <c r="A683" s="2" t="s">
        <v>215</v>
      </c>
      <c r="B683" s="2" t="s">
        <v>495</v>
      </c>
      <c r="C683" s="1">
        <v>18</v>
      </c>
      <c r="D683" s="1">
        <v>83</v>
      </c>
      <c r="E683" s="1">
        <v>0.21686746987951808</v>
      </c>
    </row>
    <row r="684" spans="1:5" x14ac:dyDescent="0.45">
      <c r="A684" s="2" t="s">
        <v>75</v>
      </c>
      <c r="B684" s="2" t="s">
        <v>495</v>
      </c>
      <c r="C684" s="1">
        <v>18</v>
      </c>
      <c r="D684" s="1">
        <v>743</v>
      </c>
      <c r="E684" s="1">
        <v>2.4226110363391656E-2</v>
      </c>
    </row>
    <row r="685" spans="1:5" x14ac:dyDescent="0.45">
      <c r="A685" s="2" t="s">
        <v>219</v>
      </c>
      <c r="B685" s="2" t="s">
        <v>497</v>
      </c>
      <c r="C685" s="1">
        <v>18</v>
      </c>
      <c r="D685" s="1">
        <v>504</v>
      </c>
      <c r="E685" s="1">
        <v>3.5714285714285712E-2</v>
      </c>
    </row>
    <row r="686" spans="1:5" x14ac:dyDescent="0.45">
      <c r="A686" s="2" t="s">
        <v>189</v>
      </c>
      <c r="B686" s="2" t="s">
        <v>495</v>
      </c>
      <c r="C686" s="1">
        <v>17</v>
      </c>
      <c r="D686" s="1">
        <v>154</v>
      </c>
      <c r="E686" s="1">
        <v>0.11038961038961038</v>
      </c>
    </row>
    <row r="687" spans="1:5" x14ac:dyDescent="0.45">
      <c r="A687" s="2" t="s">
        <v>342</v>
      </c>
      <c r="B687" s="2" t="s">
        <v>498</v>
      </c>
      <c r="C687" s="1">
        <v>17</v>
      </c>
      <c r="D687" s="1">
        <v>249</v>
      </c>
      <c r="E687" s="1">
        <v>6.8273092369477914E-2</v>
      </c>
    </row>
    <row r="688" spans="1:5" x14ac:dyDescent="0.45">
      <c r="A688" s="2" t="s">
        <v>35</v>
      </c>
      <c r="B688" s="2" t="s">
        <v>494</v>
      </c>
      <c r="C688" s="1">
        <v>17</v>
      </c>
      <c r="D688" s="1">
        <v>9</v>
      </c>
      <c r="E688" s="1">
        <v>1.8888888888888888</v>
      </c>
    </row>
    <row r="689" spans="1:5" x14ac:dyDescent="0.45">
      <c r="A689" s="2" t="s">
        <v>156</v>
      </c>
      <c r="B689" s="2" t="s">
        <v>496</v>
      </c>
      <c r="C689" s="1">
        <v>17</v>
      </c>
      <c r="D689" s="1">
        <v>98</v>
      </c>
      <c r="E689" s="1">
        <v>0.17346938775510204</v>
      </c>
    </row>
    <row r="690" spans="1:5" x14ac:dyDescent="0.45">
      <c r="A690" s="2" t="s">
        <v>206</v>
      </c>
      <c r="B690" s="2" t="s">
        <v>498</v>
      </c>
      <c r="C690" s="1">
        <v>16</v>
      </c>
      <c r="D690" s="1">
        <v>616</v>
      </c>
      <c r="E690" s="1">
        <v>2.5974025974025972E-2</v>
      </c>
    </row>
    <row r="691" spans="1:5" x14ac:dyDescent="0.45">
      <c r="A691" s="2" t="s">
        <v>108</v>
      </c>
      <c r="B691" s="2" t="s">
        <v>495</v>
      </c>
      <c r="C691" s="1">
        <v>16</v>
      </c>
      <c r="D691" s="1">
        <v>189</v>
      </c>
      <c r="E691" s="1">
        <v>8.4656084656084651E-2</v>
      </c>
    </row>
    <row r="692" spans="1:5" x14ac:dyDescent="0.45">
      <c r="A692" s="2" t="s">
        <v>16</v>
      </c>
      <c r="B692" s="2" t="s">
        <v>497</v>
      </c>
      <c r="C692" s="1">
        <v>16</v>
      </c>
      <c r="D692" s="1">
        <v>140</v>
      </c>
      <c r="E692" s="1">
        <v>0.11428571428571428</v>
      </c>
    </row>
    <row r="693" spans="1:5" x14ac:dyDescent="0.45">
      <c r="A693" s="2" t="s">
        <v>49</v>
      </c>
      <c r="B693" s="2" t="s">
        <v>496</v>
      </c>
      <c r="C693" s="1">
        <v>16</v>
      </c>
      <c r="D693" s="1">
        <v>467</v>
      </c>
      <c r="E693" s="1">
        <v>3.4261241970021415E-2</v>
      </c>
    </row>
    <row r="694" spans="1:5" x14ac:dyDescent="0.45">
      <c r="A694" s="2" t="s">
        <v>94</v>
      </c>
      <c r="B694" s="2" t="s">
        <v>496</v>
      </c>
      <c r="C694" s="1">
        <v>16</v>
      </c>
      <c r="D694" s="1">
        <v>169</v>
      </c>
      <c r="E694" s="1">
        <v>9.4674556213017749E-2</v>
      </c>
    </row>
    <row r="695" spans="1:5" x14ac:dyDescent="0.45">
      <c r="A695" s="2" t="s">
        <v>331</v>
      </c>
      <c r="B695" s="2" t="s">
        <v>497</v>
      </c>
      <c r="C695" s="1">
        <v>16</v>
      </c>
      <c r="D695" s="1">
        <v>746</v>
      </c>
      <c r="E695" s="1">
        <v>2.1447721179624665E-2</v>
      </c>
    </row>
    <row r="696" spans="1:5" x14ac:dyDescent="0.45">
      <c r="A696" s="2" t="s">
        <v>53</v>
      </c>
      <c r="B696" s="2" t="s">
        <v>495</v>
      </c>
      <c r="C696" s="1">
        <v>15</v>
      </c>
      <c r="D696" s="1">
        <v>541</v>
      </c>
      <c r="E696" s="1">
        <v>2.7726432532347505E-2</v>
      </c>
    </row>
    <row r="697" spans="1:5" x14ac:dyDescent="0.45">
      <c r="A697" s="2" t="s">
        <v>77</v>
      </c>
      <c r="B697" s="2" t="s">
        <v>496</v>
      </c>
      <c r="C697" s="1">
        <v>15</v>
      </c>
      <c r="D697" s="1">
        <v>70</v>
      </c>
      <c r="E697" s="1">
        <v>0.21428571428571427</v>
      </c>
    </row>
    <row r="698" spans="1:5" x14ac:dyDescent="0.45">
      <c r="A698" s="2" t="s">
        <v>59</v>
      </c>
      <c r="B698" s="2" t="s">
        <v>498</v>
      </c>
      <c r="C698" s="1">
        <v>15</v>
      </c>
      <c r="D698" s="1">
        <v>177</v>
      </c>
      <c r="E698" s="1">
        <v>8.4745762711864403E-2</v>
      </c>
    </row>
    <row r="699" spans="1:5" x14ac:dyDescent="0.45">
      <c r="A699" s="2" t="s">
        <v>59</v>
      </c>
      <c r="B699" s="2" t="s">
        <v>498</v>
      </c>
      <c r="C699" s="1">
        <v>15</v>
      </c>
      <c r="D699" s="1">
        <v>24</v>
      </c>
      <c r="E699" s="1">
        <v>0.625</v>
      </c>
    </row>
    <row r="700" spans="1:5" x14ac:dyDescent="0.45">
      <c r="A700" s="2" t="s">
        <v>102</v>
      </c>
      <c r="B700" s="2" t="s">
        <v>494</v>
      </c>
      <c r="C700" s="1">
        <v>15</v>
      </c>
      <c r="D700" s="1">
        <v>311</v>
      </c>
      <c r="E700" s="1">
        <v>4.8231511254019289E-2</v>
      </c>
    </row>
    <row r="701" spans="1:5" x14ac:dyDescent="0.45">
      <c r="A701" s="2" t="s">
        <v>75</v>
      </c>
      <c r="B701" s="2" t="s">
        <v>498</v>
      </c>
      <c r="C701" s="1">
        <v>15</v>
      </c>
      <c r="D701" s="1">
        <v>89</v>
      </c>
      <c r="E701" s="1">
        <v>0.16853932584269662</v>
      </c>
    </row>
    <row r="702" spans="1:5" x14ac:dyDescent="0.45">
      <c r="A702" s="2" t="s">
        <v>118</v>
      </c>
      <c r="B702" s="2" t="s">
        <v>498</v>
      </c>
      <c r="C702" s="1">
        <v>15</v>
      </c>
      <c r="D702" s="1">
        <v>202</v>
      </c>
      <c r="E702" s="1">
        <v>7.4257425742574254E-2</v>
      </c>
    </row>
    <row r="703" spans="1:5" x14ac:dyDescent="0.45">
      <c r="A703" s="2" t="s">
        <v>342</v>
      </c>
      <c r="B703" s="2" t="s">
        <v>497</v>
      </c>
      <c r="C703" s="1">
        <v>15</v>
      </c>
      <c r="D703" s="1">
        <v>148</v>
      </c>
      <c r="E703" s="1">
        <v>0.10135135135135136</v>
      </c>
    </row>
    <row r="704" spans="1:5" x14ac:dyDescent="0.45">
      <c r="A704" s="2" t="s">
        <v>35</v>
      </c>
      <c r="B704" s="2" t="s">
        <v>498</v>
      </c>
      <c r="C704" s="1">
        <v>14</v>
      </c>
      <c r="D704" s="1">
        <v>629</v>
      </c>
      <c r="E704" s="1">
        <v>2.2257551669316374E-2</v>
      </c>
    </row>
    <row r="705" spans="1:5" x14ac:dyDescent="0.45">
      <c r="A705" s="2" t="s">
        <v>84</v>
      </c>
      <c r="B705" s="2" t="s">
        <v>498</v>
      </c>
      <c r="C705" s="1">
        <v>14</v>
      </c>
      <c r="D705" s="1">
        <v>286</v>
      </c>
      <c r="E705" s="1">
        <v>4.8951048951048952E-2</v>
      </c>
    </row>
    <row r="706" spans="1:5" x14ac:dyDescent="0.45">
      <c r="A706" s="2" t="s">
        <v>357</v>
      </c>
      <c r="B706" s="2" t="s">
        <v>496</v>
      </c>
      <c r="C706" s="1">
        <v>14</v>
      </c>
      <c r="D706" s="1">
        <v>268</v>
      </c>
      <c r="E706" s="1">
        <v>5.2238805970149252E-2</v>
      </c>
    </row>
    <row r="707" spans="1:5" x14ac:dyDescent="0.45">
      <c r="A707" s="2" t="s">
        <v>222</v>
      </c>
      <c r="B707" s="2" t="s">
        <v>494</v>
      </c>
      <c r="C707" s="1">
        <v>14</v>
      </c>
      <c r="D707" s="1">
        <v>14</v>
      </c>
      <c r="E707" s="1">
        <v>1</v>
      </c>
    </row>
    <row r="708" spans="1:5" x14ac:dyDescent="0.45">
      <c r="A708" s="2" t="s">
        <v>192</v>
      </c>
      <c r="B708" s="2" t="s">
        <v>496</v>
      </c>
      <c r="C708" s="1">
        <v>14</v>
      </c>
      <c r="D708" s="1">
        <v>35</v>
      </c>
      <c r="E708" s="1">
        <v>0.4</v>
      </c>
    </row>
    <row r="709" spans="1:5" x14ac:dyDescent="0.45">
      <c r="A709" s="2" t="s">
        <v>11</v>
      </c>
      <c r="B709" s="2" t="s">
        <v>495</v>
      </c>
      <c r="C709" s="1">
        <v>14</v>
      </c>
      <c r="D709" s="1">
        <v>349</v>
      </c>
      <c r="E709" s="1">
        <v>4.0114613180515762E-2</v>
      </c>
    </row>
    <row r="710" spans="1:5" x14ac:dyDescent="0.45">
      <c r="A710" s="2" t="s">
        <v>342</v>
      </c>
      <c r="B710" s="2" t="s">
        <v>494</v>
      </c>
      <c r="C710" s="1">
        <v>13</v>
      </c>
      <c r="D710" s="1">
        <v>129</v>
      </c>
      <c r="E710" s="1">
        <v>0.10077519379844961</v>
      </c>
    </row>
    <row r="711" spans="1:5" x14ac:dyDescent="0.45">
      <c r="A711" s="2" t="s">
        <v>13</v>
      </c>
      <c r="B711" s="2" t="s">
        <v>498</v>
      </c>
      <c r="C711" s="1">
        <v>13</v>
      </c>
      <c r="D711" s="1">
        <v>481</v>
      </c>
      <c r="E711" s="1">
        <v>2.7027027027027029E-2</v>
      </c>
    </row>
    <row r="712" spans="1:5" x14ac:dyDescent="0.45">
      <c r="A712" s="2" t="s">
        <v>299</v>
      </c>
      <c r="B712" s="2" t="s">
        <v>497</v>
      </c>
      <c r="C712" s="1">
        <v>13</v>
      </c>
      <c r="D712" s="1">
        <v>541</v>
      </c>
      <c r="E712" s="1">
        <v>2.4029574861367836E-2</v>
      </c>
    </row>
    <row r="713" spans="1:5" x14ac:dyDescent="0.45">
      <c r="A713" s="2" t="s">
        <v>116</v>
      </c>
      <c r="B713" s="2" t="s">
        <v>498</v>
      </c>
      <c r="C713" s="1">
        <v>13</v>
      </c>
      <c r="D713" s="1">
        <v>265</v>
      </c>
      <c r="E713" s="1">
        <v>4.9056603773584909E-2</v>
      </c>
    </row>
    <row r="714" spans="1:5" x14ac:dyDescent="0.45">
      <c r="A714" s="2" t="s">
        <v>238</v>
      </c>
      <c r="B714" s="2" t="s">
        <v>498</v>
      </c>
      <c r="C714" s="1">
        <v>13</v>
      </c>
      <c r="D714" s="1">
        <v>251</v>
      </c>
      <c r="E714" s="1">
        <v>5.1792828685258967E-2</v>
      </c>
    </row>
    <row r="715" spans="1:5" x14ac:dyDescent="0.45">
      <c r="A715" s="2" t="s">
        <v>162</v>
      </c>
      <c r="B715" s="2" t="s">
        <v>495</v>
      </c>
      <c r="C715" s="1">
        <v>13</v>
      </c>
      <c r="D715" s="1">
        <v>379</v>
      </c>
      <c r="E715" s="1">
        <v>3.430079155672823E-2</v>
      </c>
    </row>
    <row r="716" spans="1:5" x14ac:dyDescent="0.45">
      <c r="A716" s="2" t="s">
        <v>82</v>
      </c>
      <c r="B716" s="2" t="s">
        <v>495</v>
      </c>
      <c r="C716" s="1">
        <v>12</v>
      </c>
      <c r="D716" s="1">
        <v>49</v>
      </c>
      <c r="E716" s="1">
        <v>0.24489795918367346</v>
      </c>
    </row>
    <row r="717" spans="1:5" x14ac:dyDescent="0.45">
      <c r="A717" s="2" t="s">
        <v>61</v>
      </c>
      <c r="B717" s="2" t="s">
        <v>497</v>
      </c>
      <c r="C717" s="1">
        <v>12</v>
      </c>
      <c r="D717" s="1">
        <v>220</v>
      </c>
      <c r="E717" s="1">
        <v>5.4545454545454543E-2</v>
      </c>
    </row>
    <row r="718" spans="1:5" x14ac:dyDescent="0.45">
      <c r="A718" s="2" t="s">
        <v>31</v>
      </c>
      <c r="B718" s="2" t="s">
        <v>495</v>
      </c>
      <c r="C718" s="1">
        <v>12</v>
      </c>
      <c r="D718" s="1">
        <v>4</v>
      </c>
      <c r="E718" s="1">
        <v>3</v>
      </c>
    </row>
    <row r="719" spans="1:5" x14ac:dyDescent="0.45">
      <c r="A719" s="2" t="s">
        <v>96</v>
      </c>
      <c r="B719" s="2" t="s">
        <v>498</v>
      </c>
      <c r="C719" s="1">
        <v>12</v>
      </c>
      <c r="D719" s="1">
        <v>778</v>
      </c>
      <c r="E719" s="1">
        <v>1.5424164524421594E-2</v>
      </c>
    </row>
    <row r="720" spans="1:5" x14ac:dyDescent="0.45">
      <c r="A720" s="2" t="s">
        <v>91</v>
      </c>
      <c r="B720" s="2" t="s">
        <v>494</v>
      </c>
      <c r="C720" s="1">
        <v>12</v>
      </c>
      <c r="D720" s="1">
        <v>284</v>
      </c>
      <c r="E720" s="1">
        <v>4.2253521126760563E-2</v>
      </c>
    </row>
    <row r="721" spans="1:5" x14ac:dyDescent="0.45">
      <c r="A721" s="2" t="s">
        <v>51</v>
      </c>
      <c r="B721" s="2" t="s">
        <v>495</v>
      </c>
      <c r="C721" s="1">
        <v>12</v>
      </c>
      <c r="D721" s="1">
        <v>164</v>
      </c>
      <c r="E721" s="1">
        <v>7.3170731707317069E-2</v>
      </c>
    </row>
    <row r="722" spans="1:5" x14ac:dyDescent="0.45">
      <c r="A722" s="2" t="s">
        <v>146</v>
      </c>
      <c r="B722" s="2" t="s">
        <v>494</v>
      </c>
      <c r="C722" s="1">
        <v>12</v>
      </c>
      <c r="D722" s="1">
        <v>107</v>
      </c>
      <c r="E722" s="1">
        <v>0.11214953271028037</v>
      </c>
    </row>
    <row r="723" spans="1:5" x14ac:dyDescent="0.45">
      <c r="A723" s="2" t="s">
        <v>123</v>
      </c>
      <c r="B723" s="2" t="s">
        <v>496</v>
      </c>
      <c r="C723" s="1">
        <v>11</v>
      </c>
      <c r="D723" s="1">
        <v>17</v>
      </c>
      <c r="E723" s="1">
        <v>0.6470588235294118</v>
      </c>
    </row>
    <row r="724" spans="1:5" x14ac:dyDescent="0.45">
      <c r="A724" s="2" t="s">
        <v>158</v>
      </c>
      <c r="B724" s="2" t="s">
        <v>496</v>
      </c>
      <c r="C724" s="1">
        <v>11</v>
      </c>
      <c r="D724" s="1">
        <v>74</v>
      </c>
      <c r="E724" s="1">
        <v>0.14864864864864866</v>
      </c>
    </row>
    <row r="725" spans="1:5" x14ac:dyDescent="0.45">
      <c r="A725" s="2" t="s">
        <v>37</v>
      </c>
      <c r="B725" s="2" t="s">
        <v>498</v>
      </c>
      <c r="C725" s="1">
        <v>11</v>
      </c>
      <c r="D725" s="1">
        <v>400</v>
      </c>
      <c r="E725" s="1">
        <v>2.75E-2</v>
      </c>
    </row>
    <row r="726" spans="1:5" x14ac:dyDescent="0.45">
      <c r="A726" s="2" t="s">
        <v>331</v>
      </c>
      <c r="B726" s="2" t="s">
        <v>496</v>
      </c>
      <c r="C726" s="1">
        <v>11</v>
      </c>
      <c r="D726" s="1">
        <v>305</v>
      </c>
      <c r="E726" s="1">
        <v>3.6065573770491806E-2</v>
      </c>
    </row>
    <row r="727" spans="1:5" x14ac:dyDescent="0.45">
      <c r="A727" s="2" t="s">
        <v>47</v>
      </c>
      <c r="B727" s="2" t="s">
        <v>497</v>
      </c>
      <c r="C727" s="1">
        <v>11</v>
      </c>
      <c r="D727" s="1">
        <v>251</v>
      </c>
      <c r="E727" s="1">
        <v>4.3824701195219126E-2</v>
      </c>
    </row>
    <row r="728" spans="1:5" x14ac:dyDescent="0.45">
      <c r="A728" s="2" t="s">
        <v>118</v>
      </c>
      <c r="B728" s="2" t="s">
        <v>494</v>
      </c>
      <c r="C728" s="1">
        <v>11</v>
      </c>
      <c r="D728" s="1">
        <v>274</v>
      </c>
      <c r="E728" s="1">
        <v>4.0145985401459854E-2</v>
      </c>
    </row>
    <row r="729" spans="1:5" x14ac:dyDescent="0.45">
      <c r="A729" s="2" t="s">
        <v>206</v>
      </c>
      <c r="B729" s="2" t="s">
        <v>496</v>
      </c>
      <c r="C729" s="1">
        <v>11</v>
      </c>
      <c r="D729" s="1">
        <v>439</v>
      </c>
      <c r="E729" s="1">
        <v>2.5056947608200455E-2</v>
      </c>
    </row>
    <row r="730" spans="1:5" x14ac:dyDescent="0.45">
      <c r="A730" s="2" t="s">
        <v>152</v>
      </c>
      <c r="B730" s="2" t="s">
        <v>498</v>
      </c>
      <c r="C730" s="1">
        <v>11</v>
      </c>
      <c r="D730" s="1">
        <v>91</v>
      </c>
      <c r="E730" s="1">
        <v>0.12087912087912088</v>
      </c>
    </row>
    <row r="731" spans="1:5" x14ac:dyDescent="0.45">
      <c r="A731" s="2" t="s">
        <v>129</v>
      </c>
      <c r="B731" s="2" t="s">
        <v>496</v>
      </c>
      <c r="C731" s="1">
        <v>10</v>
      </c>
      <c r="D731" s="1">
        <v>645</v>
      </c>
      <c r="E731" s="1">
        <v>1.5503875968992248E-2</v>
      </c>
    </row>
    <row r="732" spans="1:5" x14ac:dyDescent="0.45">
      <c r="A732" s="2" t="s">
        <v>89</v>
      </c>
      <c r="B732" s="2" t="s">
        <v>497</v>
      </c>
      <c r="C732" s="1">
        <v>10</v>
      </c>
      <c r="D732" s="1">
        <v>66</v>
      </c>
      <c r="E732" s="1">
        <v>0.15151515151515152</v>
      </c>
    </row>
    <row r="733" spans="1:5" x14ac:dyDescent="0.45">
      <c r="A733" s="2" t="s">
        <v>242</v>
      </c>
      <c r="B733" s="2" t="s">
        <v>494</v>
      </c>
      <c r="C733" s="1">
        <v>10</v>
      </c>
      <c r="D733" s="1">
        <v>921</v>
      </c>
      <c r="E733" s="1">
        <v>1.0857763300760043E-2</v>
      </c>
    </row>
    <row r="734" spans="1:5" x14ac:dyDescent="0.45">
      <c r="A734" s="2" t="s">
        <v>33</v>
      </c>
      <c r="B734" s="2" t="s">
        <v>497</v>
      </c>
      <c r="C734" s="1">
        <v>10</v>
      </c>
      <c r="D734" s="1">
        <v>280</v>
      </c>
      <c r="E734" s="1">
        <v>3.5714285714285712E-2</v>
      </c>
    </row>
    <row r="735" spans="1:5" x14ac:dyDescent="0.45">
      <c r="A735" s="2" t="s">
        <v>108</v>
      </c>
      <c r="B735" s="2" t="s">
        <v>496</v>
      </c>
      <c r="C735" s="1">
        <v>10</v>
      </c>
      <c r="D735" s="1">
        <v>633</v>
      </c>
      <c r="E735" s="1">
        <v>1.579778830963665E-2</v>
      </c>
    </row>
    <row r="736" spans="1:5" x14ac:dyDescent="0.45">
      <c r="A736" s="2" t="s">
        <v>165</v>
      </c>
      <c r="B736" s="2" t="s">
        <v>494</v>
      </c>
      <c r="C736" s="1">
        <v>10</v>
      </c>
      <c r="D736" s="1">
        <v>28</v>
      </c>
      <c r="E736" s="1">
        <v>0.35714285714285715</v>
      </c>
    </row>
    <row r="737" spans="1:5" x14ac:dyDescent="0.45">
      <c r="A737" s="2" t="s">
        <v>66</v>
      </c>
      <c r="B737" s="2" t="s">
        <v>495</v>
      </c>
      <c r="C737" s="1">
        <v>10</v>
      </c>
      <c r="D737" s="1">
        <v>215</v>
      </c>
      <c r="E737" s="1">
        <v>4.6511627906976744E-2</v>
      </c>
    </row>
    <row r="738" spans="1:5" x14ac:dyDescent="0.45">
      <c r="A738" s="2" t="s">
        <v>16</v>
      </c>
      <c r="B738" s="2" t="s">
        <v>495</v>
      </c>
      <c r="C738" s="1">
        <v>10</v>
      </c>
      <c r="D738" s="1">
        <v>750</v>
      </c>
      <c r="E738" s="1">
        <v>1.3333333333333332E-2</v>
      </c>
    </row>
    <row r="739" spans="1:5" x14ac:dyDescent="0.45">
      <c r="A739" s="2" t="s">
        <v>222</v>
      </c>
      <c r="B739" s="2" t="s">
        <v>496</v>
      </c>
      <c r="C739" s="1">
        <v>10</v>
      </c>
      <c r="D739" s="1">
        <v>128</v>
      </c>
      <c r="E739" s="1">
        <v>7.8125E-2</v>
      </c>
    </row>
    <row r="740" spans="1:5" x14ac:dyDescent="0.45">
      <c r="A740" s="2" t="s">
        <v>37</v>
      </c>
      <c r="B740" s="2" t="s">
        <v>494</v>
      </c>
      <c r="C740" s="1">
        <v>9</v>
      </c>
      <c r="D740" s="1">
        <v>211</v>
      </c>
      <c r="E740" s="1">
        <v>4.2654028436018961E-2</v>
      </c>
    </row>
    <row r="741" spans="1:5" x14ac:dyDescent="0.45">
      <c r="A741" s="2" t="s">
        <v>160</v>
      </c>
      <c r="B741" s="2" t="s">
        <v>495</v>
      </c>
      <c r="C741" s="1">
        <v>9</v>
      </c>
      <c r="D741" s="1">
        <v>152</v>
      </c>
      <c r="E741" s="1">
        <v>5.921052631578947E-2</v>
      </c>
    </row>
    <row r="742" spans="1:5" x14ac:dyDescent="0.45">
      <c r="A742" s="2" t="s">
        <v>339</v>
      </c>
      <c r="B742" s="2" t="s">
        <v>497</v>
      </c>
      <c r="C742" s="1">
        <v>9</v>
      </c>
      <c r="D742" s="1">
        <v>183</v>
      </c>
      <c r="E742" s="1">
        <v>4.9180327868852458E-2</v>
      </c>
    </row>
    <row r="743" spans="1:5" x14ac:dyDescent="0.45">
      <c r="A743" s="2" t="s">
        <v>118</v>
      </c>
      <c r="B743" s="2" t="s">
        <v>494</v>
      </c>
      <c r="C743" s="1">
        <v>9</v>
      </c>
      <c r="D743" s="1">
        <v>44</v>
      </c>
      <c r="E743" s="1">
        <v>0.20454545454545456</v>
      </c>
    </row>
    <row r="744" spans="1:5" x14ac:dyDescent="0.45">
      <c r="A744" s="2" t="s">
        <v>104</v>
      </c>
      <c r="B744" s="2" t="s">
        <v>495</v>
      </c>
      <c r="C744" s="1">
        <v>9</v>
      </c>
      <c r="D744" s="1">
        <v>37</v>
      </c>
      <c r="E744" s="1">
        <v>0.24324324324324326</v>
      </c>
    </row>
    <row r="745" spans="1:5" x14ac:dyDescent="0.45">
      <c r="A745" s="2" t="s">
        <v>192</v>
      </c>
      <c r="B745" s="2" t="s">
        <v>497</v>
      </c>
      <c r="C745" s="1">
        <v>9</v>
      </c>
      <c r="D745" s="1">
        <v>42</v>
      </c>
      <c r="E745" s="1">
        <v>0.21428571428571427</v>
      </c>
    </row>
    <row r="746" spans="1:5" x14ac:dyDescent="0.45">
      <c r="A746" s="2" t="s">
        <v>299</v>
      </c>
      <c r="B746" s="2" t="s">
        <v>494</v>
      </c>
      <c r="C746" s="1">
        <v>9</v>
      </c>
      <c r="D746" s="1">
        <v>93</v>
      </c>
      <c r="E746" s="1">
        <v>9.6774193548387094E-2</v>
      </c>
    </row>
    <row r="747" spans="1:5" x14ac:dyDescent="0.45">
      <c r="A747" s="2" t="s">
        <v>41</v>
      </c>
      <c r="B747" s="2" t="s">
        <v>498</v>
      </c>
      <c r="C747" s="1">
        <v>9</v>
      </c>
      <c r="D747" s="1">
        <v>215</v>
      </c>
      <c r="E747" s="1">
        <v>4.1860465116279069E-2</v>
      </c>
    </row>
    <row r="748" spans="1:5" x14ac:dyDescent="0.45">
      <c r="A748" s="2" t="s">
        <v>39</v>
      </c>
      <c r="B748" s="2" t="s">
        <v>495</v>
      </c>
      <c r="C748" s="1">
        <v>9</v>
      </c>
      <c r="D748" s="1">
        <v>332</v>
      </c>
      <c r="E748" s="1">
        <v>2.710843373493976E-2</v>
      </c>
    </row>
    <row r="749" spans="1:5" x14ac:dyDescent="0.45">
      <c r="A749" s="2" t="s">
        <v>158</v>
      </c>
      <c r="B749" s="2" t="s">
        <v>496</v>
      </c>
      <c r="C749" s="1">
        <v>9</v>
      </c>
      <c r="D749" s="1">
        <v>38</v>
      </c>
      <c r="E749" s="1">
        <v>0.23684210526315788</v>
      </c>
    </row>
    <row r="750" spans="1:5" x14ac:dyDescent="0.45">
      <c r="A750" s="2" t="s">
        <v>84</v>
      </c>
      <c r="B750" s="2" t="s">
        <v>498</v>
      </c>
      <c r="C750" s="1">
        <v>8</v>
      </c>
      <c r="D750" s="1">
        <v>122</v>
      </c>
      <c r="E750" s="1">
        <v>6.5573770491803282E-2</v>
      </c>
    </row>
    <row r="751" spans="1:5" x14ac:dyDescent="0.45">
      <c r="A751" s="2" t="s">
        <v>13</v>
      </c>
      <c r="B751" s="2" t="s">
        <v>495</v>
      </c>
      <c r="C751" s="1">
        <v>8</v>
      </c>
      <c r="D751" s="1">
        <v>204</v>
      </c>
      <c r="E751" s="1">
        <v>3.9215686274509803E-2</v>
      </c>
    </row>
    <row r="752" spans="1:5" x14ac:dyDescent="0.45">
      <c r="A752" s="2" t="s">
        <v>39</v>
      </c>
      <c r="B752" s="2" t="s">
        <v>498</v>
      </c>
      <c r="C752" s="1">
        <v>8</v>
      </c>
      <c r="D752" s="1">
        <v>188</v>
      </c>
      <c r="E752" s="1">
        <v>4.2553191489361701E-2</v>
      </c>
    </row>
    <row r="753" spans="1:5" x14ac:dyDescent="0.45">
      <c r="A753" s="2" t="s">
        <v>35</v>
      </c>
      <c r="B753" s="2" t="s">
        <v>497</v>
      </c>
      <c r="C753" s="1">
        <v>8</v>
      </c>
      <c r="D753" s="1">
        <v>116</v>
      </c>
      <c r="E753" s="1">
        <v>6.8965517241379309E-2</v>
      </c>
    </row>
    <row r="754" spans="1:5" x14ac:dyDescent="0.45">
      <c r="A754" s="2" t="s">
        <v>272</v>
      </c>
      <c r="B754" s="2" t="s">
        <v>494</v>
      </c>
      <c r="C754" s="1">
        <v>8</v>
      </c>
      <c r="D754" s="1">
        <v>798</v>
      </c>
      <c r="E754" s="1">
        <v>1.0025062656641603E-2</v>
      </c>
    </row>
    <row r="755" spans="1:5" x14ac:dyDescent="0.45">
      <c r="A755" s="2" t="s">
        <v>189</v>
      </c>
      <c r="B755" s="2" t="s">
        <v>494</v>
      </c>
      <c r="C755" s="1">
        <v>8</v>
      </c>
      <c r="D755" s="1">
        <v>16</v>
      </c>
      <c r="E755" s="1">
        <v>0.5</v>
      </c>
    </row>
    <row r="756" spans="1:5" x14ac:dyDescent="0.45">
      <c r="A756" s="2" t="s">
        <v>16</v>
      </c>
      <c r="B756" s="2" t="s">
        <v>496</v>
      </c>
      <c r="C756" s="1">
        <v>8</v>
      </c>
      <c r="D756" s="1">
        <v>319</v>
      </c>
      <c r="E756" s="1">
        <v>2.5078369905956112E-2</v>
      </c>
    </row>
    <row r="757" spans="1:5" x14ac:dyDescent="0.45">
      <c r="A757" s="2" t="s">
        <v>19</v>
      </c>
      <c r="B757" s="2" t="s">
        <v>497</v>
      </c>
      <c r="C757" s="1">
        <v>8</v>
      </c>
      <c r="D757" s="1">
        <v>272</v>
      </c>
      <c r="E757" s="1">
        <v>2.9411764705882353E-2</v>
      </c>
    </row>
    <row r="758" spans="1:5" x14ac:dyDescent="0.45">
      <c r="A758" s="2" t="s">
        <v>104</v>
      </c>
      <c r="B758" s="2" t="s">
        <v>496</v>
      </c>
      <c r="C758" s="1">
        <v>8</v>
      </c>
      <c r="D758" s="1">
        <v>696</v>
      </c>
      <c r="E758" s="1">
        <v>1.1494252873563218E-2</v>
      </c>
    </row>
    <row r="759" spans="1:5" x14ac:dyDescent="0.45">
      <c r="A759" s="2" t="s">
        <v>11</v>
      </c>
      <c r="B759" s="2" t="s">
        <v>494</v>
      </c>
      <c r="C759" s="1">
        <v>7</v>
      </c>
      <c r="D759" s="1">
        <v>37</v>
      </c>
      <c r="E759" s="1">
        <v>0.1891891891891892</v>
      </c>
    </row>
    <row r="760" spans="1:5" x14ac:dyDescent="0.45">
      <c r="A760" s="2" t="s">
        <v>121</v>
      </c>
      <c r="B760" s="2" t="s">
        <v>496</v>
      </c>
      <c r="C760" s="1">
        <v>7</v>
      </c>
      <c r="D760" s="1">
        <v>158</v>
      </c>
      <c r="E760" s="1">
        <v>4.4303797468354431E-2</v>
      </c>
    </row>
    <row r="761" spans="1:5" x14ac:dyDescent="0.45">
      <c r="A761" s="2" t="s">
        <v>331</v>
      </c>
      <c r="B761" s="2" t="s">
        <v>495</v>
      </c>
      <c r="C761" s="1">
        <v>7</v>
      </c>
      <c r="D761" s="1">
        <v>518</v>
      </c>
      <c r="E761" s="1">
        <v>1.3513513513513514E-2</v>
      </c>
    </row>
    <row r="762" spans="1:5" x14ac:dyDescent="0.45">
      <c r="A762" s="2" t="s">
        <v>79</v>
      </c>
      <c r="B762" s="2" t="s">
        <v>497</v>
      </c>
      <c r="C762" s="1">
        <v>7</v>
      </c>
      <c r="D762" s="1">
        <v>46</v>
      </c>
      <c r="E762" s="1">
        <v>0.15217391304347827</v>
      </c>
    </row>
    <row r="763" spans="1:5" x14ac:dyDescent="0.45">
      <c r="A763" s="2" t="s">
        <v>63</v>
      </c>
      <c r="B763" s="2" t="s">
        <v>498</v>
      </c>
      <c r="C763" s="1">
        <v>7</v>
      </c>
      <c r="D763" s="1">
        <v>236</v>
      </c>
      <c r="E763" s="1">
        <v>2.9661016949152543E-2</v>
      </c>
    </row>
    <row r="764" spans="1:5" x14ac:dyDescent="0.45">
      <c r="A764" s="2" t="s">
        <v>192</v>
      </c>
      <c r="B764" s="2" t="s">
        <v>494</v>
      </c>
      <c r="C764" s="1">
        <v>7</v>
      </c>
      <c r="D764" s="1">
        <v>51</v>
      </c>
      <c r="E764" s="1">
        <v>0.13725490196078433</v>
      </c>
    </row>
    <row r="765" spans="1:5" x14ac:dyDescent="0.45">
      <c r="A765" s="2" t="s">
        <v>13</v>
      </c>
      <c r="B765" s="2" t="s">
        <v>495</v>
      </c>
      <c r="C765" s="1">
        <v>7</v>
      </c>
      <c r="D765" s="1">
        <v>549</v>
      </c>
      <c r="E765" s="1">
        <v>1.2750455373406192E-2</v>
      </c>
    </row>
    <row r="766" spans="1:5" x14ac:dyDescent="0.45">
      <c r="A766" s="2" t="s">
        <v>246</v>
      </c>
      <c r="B766" s="2" t="s">
        <v>494</v>
      </c>
      <c r="C766" s="1">
        <v>7</v>
      </c>
      <c r="D766" s="1">
        <v>748</v>
      </c>
      <c r="E766" s="1">
        <v>9.3582887700534752E-3</v>
      </c>
    </row>
    <row r="767" spans="1:5" x14ac:dyDescent="0.45">
      <c r="A767" s="2" t="s">
        <v>37</v>
      </c>
      <c r="B767" s="2" t="s">
        <v>498</v>
      </c>
      <c r="C767" s="1">
        <v>7</v>
      </c>
      <c r="D767" s="1">
        <v>137</v>
      </c>
      <c r="E767" s="1">
        <v>5.1094890510948905E-2</v>
      </c>
    </row>
    <row r="768" spans="1:5" x14ac:dyDescent="0.45">
      <c r="A768" s="2" t="s">
        <v>146</v>
      </c>
      <c r="B768" s="2" t="s">
        <v>496</v>
      </c>
      <c r="C768" s="1">
        <v>7</v>
      </c>
      <c r="D768" s="1">
        <v>106</v>
      </c>
      <c r="E768" s="1">
        <v>6.6037735849056603E-2</v>
      </c>
    </row>
    <row r="769" spans="1:5" x14ac:dyDescent="0.45">
      <c r="A769" s="2" t="s">
        <v>8</v>
      </c>
      <c r="B769" s="2" t="s">
        <v>498</v>
      </c>
      <c r="C769" s="1">
        <v>6</v>
      </c>
      <c r="D769" s="1">
        <v>27</v>
      </c>
      <c r="E769" s="1">
        <v>0.22222222222222221</v>
      </c>
    </row>
    <row r="770" spans="1:5" x14ac:dyDescent="0.45">
      <c r="A770" s="2" t="s">
        <v>33</v>
      </c>
      <c r="B770" s="2" t="s">
        <v>495</v>
      </c>
      <c r="C770" s="1">
        <v>6</v>
      </c>
      <c r="D770" s="1">
        <v>914</v>
      </c>
      <c r="E770" s="1">
        <v>6.5645514223194746E-3</v>
      </c>
    </row>
    <row r="771" spans="1:5" x14ac:dyDescent="0.45">
      <c r="A771" s="2" t="s">
        <v>59</v>
      </c>
      <c r="B771" s="2" t="s">
        <v>498</v>
      </c>
      <c r="C771" s="1">
        <v>5</v>
      </c>
      <c r="D771" s="1">
        <v>56</v>
      </c>
      <c r="E771" s="1">
        <v>8.9285714285714288E-2</v>
      </c>
    </row>
    <row r="772" spans="1:5" x14ac:dyDescent="0.45">
      <c r="A772" s="2" t="s">
        <v>185</v>
      </c>
      <c r="B772" s="2" t="s">
        <v>494</v>
      </c>
      <c r="C772" s="1">
        <v>5</v>
      </c>
      <c r="D772" s="1">
        <v>25</v>
      </c>
      <c r="E772" s="1">
        <v>0.2</v>
      </c>
    </row>
    <row r="773" spans="1:5" x14ac:dyDescent="0.45">
      <c r="A773" s="2" t="s">
        <v>91</v>
      </c>
      <c r="B773" s="2" t="s">
        <v>494</v>
      </c>
      <c r="C773" s="1">
        <v>5</v>
      </c>
      <c r="D773" s="1">
        <v>191</v>
      </c>
      <c r="E773" s="1">
        <v>2.6178010471204188E-2</v>
      </c>
    </row>
    <row r="774" spans="1:5" x14ac:dyDescent="0.45">
      <c r="A774" s="2" t="s">
        <v>189</v>
      </c>
      <c r="B774" s="2" t="s">
        <v>496</v>
      </c>
      <c r="C774" s="1">
        <v>5</v>
      </c>
      <c r="D774" s="1">
        <v>206</v>
      </c>
      <c r="E774" s="1">
        <v>2.4271844660194174E-2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C132-C285-44CD-B165-A2E18D02D01F}">
  <dimension ref="A1:C16"/>
  <sheetViews>
    <sheetView workbookViewId="0">
      <selection activeCell="E3" sqref="E3"/>
    </sheetView>
  </sheetViews>
  <sheetFormatPr defaultRowHeight="14.25" x14ac:dyDescent="0.45"/>
  <cols>
    <col min="1" max="1" width="11.06640625" style="1" bestFit="1" customWidth="1"/>
    <col min="2" max="2" width="16.53125" style="1" bestFit="1" customWidth="1"/>
    <col min="3" max="3" width="21.33203125" style="1" bestFit="1" customWidth="1"/>
  </cols>
  <sheetData>
    <row r="1" spans="1:3" x14ac:dyDescent="0.45">
      <c r="A1" s="1" t="s">
        <v>500</v>
      </c>
      <c r="B1" s="1" t="s">
        <v>501</v>
      </c>
      <c r="C1" s="1" t="s">
        <v>502</v>
      </c>
    </row>
    <row r="2" spans="1:3" x14ac:dyDescent="0.45">
      <c r="A2" s="2" t="s">
        <v>503</v>
      </c>
      <c r="B2" s="2" t="s">
        <v>504</v>
      </c>
      <c r="C2" s="1">
        <v>16</v>
      </c>
    </row>
    <row r="3" spans="1:3" x14ac:dyDescent="0.45">
      <c r="A3" s="2" t="s">
        <v>505</v>
      </c>
      <c r="B3" s="2" t="s">
        <v>506</v>
      </c>
      <c r="C3" s="1">
        <v>20</v>
      </c>
    </row>
    <row r="4" spans="1:3" x14ac:dyDescent="0.45">
      <c r="A4" s="2" t="s">
        <v>507</v>
      </c>
      <c r="B4" s="2" t="s">
        <v>508</v>
      </c>
      <c r="C4" s="1">
        <v>3</v>
      </c>
    </row>
    <row r="5" spans="1:3" x14ac:dyDescent="0.45">
      <c r="A5" s="2" t="s">
        <v>509</v>
      </c>
      <c r="B5" s="2" t="s">
        <v>510</v>
      </c>
      <c r="C5" s="1">
        <v>10</v>
      </c>
    </row>
    <row r="6" spans="1:3" x14ac:dyDescent="0.45">
      <c r="A6" s="2" t="s">
        <v>511</v>
      </c>
      <c r="B6" s="2" t="s">
        <v>512</v>
      </c>
      <c r="C6" s="1">
        <v>17</v>
      </c>
    </row>
    <row r="7" spans="1:3" x14ac:dyDescent="0.45">
      <c r="A7" s="2" t="s">
        <v>513</v>
      </c>
      <c r="B7" s="2" t="s">
        <v>514</v>
      </c>
      <c r="C7" s="1">
        <v>10</v>
      </c>
    </row>
    <row r="8" spans="1:3" x14ac:dyDescent="0.45">
      <c r="A8" s="2" t="s">
        <v>515</v>
      </c>
      <c r="B8" s="2" t="s">
        <v>516</v>
      </c>
      <c r="C8" s="1">
        <v>8</v>
      </c>
    </row>
    <row r="9" spans="1:3" x14ac:dyDescent="0.45">
      <c r="A9" s="2" t="s">
        <v>517</v>
      </c>
      <c r="B9" s="2" t="s">
        <v>518</v>
      </c>
      <c r="C9" s="1">
        <v>15</v>
      </c>
    </row>
    <row r="10" spans="1:3" x14ac:dyDescent="0.45">
      <c r="A10" s="2" t="s">
        <v>519</v>
      </c>
      <c r="B10" s="2" t="s">
        <v>520</v>
      </c>
      <c r="C10" s="1">
        <v>19</v>
      </c>
    </row>
    <row r="11" spans="1:3" x14ac:dyDescent="0.45">
      <c r="A11" s="2" t="s">
        <v>521</v>
      </c>
      <c r="B11" s="2" t="s">
        <v>522</v>
      </c>
      <c r="C11" s="1">
        <v>18</v>
      </c>
    </row>
    <row r="12" spans="1:3" x14ac:dyDescent="0.45">
      <c r="A12" s="2" t="s">
        <v>523</v>
      </c>
      <c r="B12" s="2" t="s">
        <v>524</v>
      </c>
      <c r="C12" s="1">
        <v>14</v>
      </c>
    </row>
    <row r="13" spans="1:3" x14ac:dyDescent="0.45">
      <c r="A13" s="2" t="s">
        <v>525</v>
      </c>
      <c r="B13" s="2" t="s">
        <v>526</v>
      </c>
      <c r="C13" s="1">
        <v>15</v>
      </c>
    </row>
    <row r="14" spans="1:3" x14ac:dyDescent="0.45">
      <c r="A14" s="2" t="s">
        <v>527</v>
      </c>
      <c r="B14" s="2" t="s">
        <v>528</v>
      </c>
      <c r="C14" s="1">
        <v>15</v>
      </c>
    </row>
    <row r="15" spans="1:3" x14ac:dyDescent="0.45">
      <c r="A15" s="2" t="s">
        <v>529</v>
      </c>
      <c r="B15" s="2" t="s">
        <v>530</v>
      </c>
      <c r="C15" s="1">
        <v>12</v>
      </c>
    </row>
    <row r="16" spans="1:3" x14ac:dyDescent="0.45">
      <c r="A16" s="2" t="s">
        <v>531</v>
      </c>
      <c r="B16" s="2" t="s">
        <v>532</v>
      </c>
      <c r="C16" s="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B8EE-2699-40F6-BCB2-513FA6F67390}">
  <dimension ref="A1:B4"/>
  <sheetViews>
    <sheetView workbookViewId="0">
      <selection activeCell="G8" sqref="G8"/>
    </sheetView>
  </sheetViews>
  <sheetFormatPr defaultRowHeight="14.25" x14ac:dyDescent="0.45"/>
  <cols>
    <col min="1" max="1" width="17.3984375" style="1" bestFit="1" customWidth="1"/>
    <col min="2" max="2" width="24.3984375" style="1" bestFit="1" customWidth="1"/>
    <col min="3" max="4" width="5.73046875" bestFit="1" customWidth="1"/>
    <col min="5" max="5" width="4.73046875" bestFit="1" customWidth="1"/>
    <col min="6" max="7" width="5.73046875" bestFit="1" customWidth="1"/>
    <col min="8" max="8" width="6.73046875" bestFit="1" customWidth="1"/>
    <col min="9" max="9" width="3.73046875" bestFit="1" customWidth="1"/>
    <col min="10" max="24" width="6.73046875" bestFit="1" customWidth="1"/>
    <col min="25" max="25" width="5.73046875" bestFit="1" customWidth="1"/>
    <col min="26" max="29" width="6.73046875" bestFit="1" customWidth="1"/>
    <col min="30" max="30" width="3.73046875" bestFit="1" customWidth="1"/>
    <col min="31" max="33" width="6.73046875" bestFit="1" customWidth="1"/>
    <col min="34" max="34" width="5.73046875" bestFit="1" customWidth="1"/>
    <col min="35" max="40" width="6.73046875" bestFit="1" customWidth="1"/>
    <col min="41" max="41" width="5.73046875" bestFit="1" customWidth="1"/>
    <col min="42" max="58" width="6.73046875" bestFit="1" customWidth="1"/>
    <col min="59" max="59" width="5.73046875" bestFit="1" customWidth="1"/>
    <col min="60" max="61" width="6.73046875" bestFit="1" customWidth="1"/>
    <col min="62" max="62" width="3.73046875" bestFit="1" customWidth="1"/>
    <col min="63" max="63" width="6.73046875" bestFit="1" customWidth="1"/>
    <col min="64" max="64" width="5.73046875" bestFit="1" customWidth="1"/>
    <col min="65" max="65" width="6.73046875" bestFit="1" customWidth="1"/>
    <col min="66" max="66" width="3.73046875" bestFit="1" customWidth="1"/>
    <col min="67" max="69" width="6.73046875" bestFit="1" customWidth="1"/>
    <col min="70" max="70" width="3.73046875" bestFit="1" customWidth="1"/>
    <col min="71" max="75" width="6.73046875" bestFit="1" customWidth="1"/>
    <col min="76" max="77" width="7.73046875" bestFit="1" customWidth="1"/>
    <col min="78" max="79" width="6.73046875" bestFit="1" customWidth="1"/>
    <col min="80" max="84" width="7.73046875" bestFit="1" customWidth="1"/>
    <col min="85" max="85" width="6.73046875" bestFit="1" customWidth="1"/>
    <col min="86" max="91" width="7.73046875" bestFit="1" customWidth="1"/>
    <col min="92" max="93" width="6.73046875" bestFit="1" customWidth="1"/>
    <col min="94" max="97" width="7.73046875" bestFit="1" customWidth="1"/>
    <col min="98" max="98" width="6.73046875" bestFit="1" customWidth="1"/>
    <col min="99" max="103" width="7.73046875" bestFit="1" customWidth="1"/>
    <col min="104" max="104" width="6.73046875" bestFit="1" customWidth="1"/>
    <col min="105" max="105" width="7.73046875" bestFit="1" customWidth="1"/>
    <col min="106" max="106" width="4.73046875" bestFit="1" customWidth="1"/>
    <col min="107" max="107" width="6.73046875" bestFit="1" customWidth="1"/>
    <col min="108" max="111" width="7.73046875" bestFit="1" customWidth="1"/>
    <col min="112" max="112" width="6.73046875" bestFit="1" customWidth="1"/>
    <col min="113" max="114" width="7.73046875" bestFit="1" customWidth="1"/>
    <col min="115" max="116" width="6.73046875" bestFit="1" customWidth="1"/>
    <col min="117" max="117" width="7.73046875" bestFit="1" customWidth="1"/>
    <col min="118" max="118" width="6.73046875" bestFit="1" customWidth="1"/>
    <col min="119" max="120" width="7.73046875" bestFit="1" customWidth="1"/>
    <col min="121" max="122" width="6.73046875" bestFit="1" customWidth="1"/>
    <col min="123" max="125" width="7.73046875" bestFit="1" customWidth="1"/>
    <col min="126" max="126" width="4.73046875" bestFit="1" customWidth="1"/>
    <col min="127" max="129" width="7.73046875" bestFit="1" customWidth="1"/>
    <col min="130" max="130" width="6.73046875" bestFit="1" customWidth="1"/>
    <col min="131" max="131" width="4.73046875" bestFit="1" customWidth="1"/>
    <col min="132" max="133" width="7.73046875" bestFit="1" customWidth="1"/>
    <col min="134" max="134" width="6.73046875" bestFit="1" customWidth="1"/>
    <col min="135" max="139" width="7.73046875" bestFit="1" customWidth="1"/>
    <col min="140" max="140" width="6.73046875" bestFit="1" customWidth="1"/>
    <col min="141" max="141" width="7.73046875" bestFit="1" customWidth="1"/>
    <col min="142" max="142" width="4.73046875" bestFit="1" customWidth="1"/>
    <col min="143" max="143" width="7.73046875" bestFit="1" customWidth="1"/>
    <col min="144" max="144" width="4.73046875" bestFit="1" customWidth="1"/>
    <col min="145" max="145" width="7.73046875" bestFit="1" customWidth="1"/>
    <col min="146" max="146" width="6.73046875" bestFit="1" customWidth="1"/>
    <col min="147" max="149" width="7.73046875" bestFit="1" customWidth="1"/>
    <col min="150" max="150" width="4.73046875" bestFit="1" customWidth="1"/>
    <col min="151" max="152" width="7.73046875" bestFit="1" customWidth="1"/>
    <col min="153" max="153" width="6.73046875" bestFit="1" customWidth="1"/>
    <col min="154" max="154" width="7.73046875" bestFit="1" customWidth="1"/>
    <col min="155" max="156" width="6.73046875" bestFit="1" customWidth="1"/>
    <col min="157" max="157" width="7.73046875" bestFit="1" customWidth="1"/>
    <col min="158" max="158" width="4.73046875" bestFit="1" customWidth="1"/>
    <col min="159" max="159" width="6.73046875" bestFit="1" customWidth="1"/>
    <col min="160" max="164" width="7.73046875" bestFit="1" customWidth="1"/>
    <col min="165" max="165" width="6.73046875" bestFit="1" customWidth="1"/>
    <col min="166" max="167" width="7.73046875" bestFit="1" customWidth="1"/>
    <col min="168" max="168" width="6.73046875" bestFit="1" customWidth="1"/>
    <col min="169" max="172" width="7.73046875" bestFit="1" customWidth="1"/>
    <col min="173" max="173" width="6.73046875" bestFit="1" customWidth="1"/>
    <col min="174" max="179" width="7.73046875" bestFit="1" customWidth="1"/>
    <col min="180" max="180" width="4.73046875" bestFit="1" customWidth="1"/>
    <col min="181" max="182" width="7.73046875" bestFit="1" customWidth="1"/>
    <col min="183" max="183" width="6.73046875" bestFit="1" customWidth="1"/>
    <col min="184" max="184" width="4.73046875" bestFit="1" customWidth="1"/>
    <col min="185" max="197" width="7.73046875" bestFit="1" customWidth="1"/>
    <col min="198" max="198" width="6.73046875" bestFit="1" customWidth="1"/>
    <col min="199" max="202" width="7.73046875" bestFit="1" customWidth="1"/>
    <col min="203" max="203" width="6.73046875" bestFit="1" customWidth="1"/>
    <col min="204" max="207" width="7.73046875" bestFit="1" customWidth="1"/>
    <col min="208" max="208" width="4.73046875" bestFit="1" customWidth="1"/>
    <col min="209" max="210" width="7.73046875" bestFit="1" customWidth="1"/>
    <col min="211" max="211" width="6.73046875" bestFit="1" customWidth="1"/>
    <col min="212" max="213" width="7.73046875" bestFit="1" customWidth="1"/>
    <col min="214" max="214" width="6.73046875" bestFit="1" customWidth="1"/>
    <col min="215" max="215" width="4.73046875" bestFit="1" customWidth="1"/>
    <col min="216" max="216" width="6.73046875" bestFit="1" customWidth="1"/>
    <col min="217" max="217" width="4.73046875" bestFit="1" customWidth="1"/>
    <col min="218" max="218" width="7.73046875" bestFit="1" customWidth="1"/>
    <col min="219" max="219" width="6.73046875" bestFit="1" customWidth="1"/>
    <col min="220" max="220" width="7.73046875" bestFit="1" customWidth="1"/>
    <col min="221" max="222" width="4.73046875" bestFit="1" customWidth="1"/>
    <col min="223" max="227" width="7.73046875" bestFit="1" customWidth="1"/>
    <col min="228" max="228" width="6.73046875" bestFit="1" customWidth="1"/>
    <col min="229" max="231" width="7.73046875" bestFit="1" customWidth="1"/>
    <col min="232" max="232" width="4.73046875" bestFit="1" customWidth="1"/>
    <col min="233" max="234" width="7.73046875" bestFit="1" customWidth="1"/>
    <col min="235" max="235" width="6.73046875" bestFit="1" customWidth="1"/>
    <col min="236" max="236" width="7.73046875" bestFit="1" customWidth="1"/>
    <col min="237" max="238" width="6.73046875" bestFit="1" customWidth="1"/>
    <col min="239" max="244" width="7.73046875" bestFit="1" customWidth="1"/>
    <col min="245" max="247" width="6.73046875" bestFit="1" customWidth="1"/>
    <col min="248" max="248" width="7.73046875" bestFit="1" customWidth="1"/>
    <col min="249" max="249" width="6.73046875" bestFit="1" customWidth="1"/>
    <col min="250" max="251" width="7.73046875" bestFit="1" customWidth="1"/>
    <col min="252" max="252" width="6.73046875" bestFit="1" customWidth="1"/>
    <col min="253" max="263" width="7.73046875" bestFit="1" customWidth="1"/>
    <col min="264" max="264" width="6.73046875" bestFit="1" customWidth="1"/>
    <col min="265" max="266" width="8.73046875" bestFit="1" customWidth="1"/>
    <col min="267" max="267" width="7.73046875" bestFit="1" customWidth="1"/>
    <col min="268" max="269" width="8.73046875" bestFit="1" customWidth="1"/>
    <col min="270" max="270" width="5.73046875" bestFit="1" customWidth="1"/>
    <col min="271" max="274" width="8.73046875" bestFit="1" customWidth="1"/>
    <col min="275" max="275" width="7.73046875" bestFit="1" customWidth="1"/>
    <col min="276" max="276" width="8.73046875" bestFit="1" customWidth="1"/>
    <col min="277" max="277" width="7.73046875" bestFit="1" customWidth="1"/>
    <col min="278" max="287" width="8.73046875" bestFit="1" customWidth="1"/>
    <col min="288" max="288" width="5.73046875" bestFit="1" customWidth="1"/>
    <col min="289" max="289" width="7.73046875" bestFit="1" customWidth="1"/>
    <col min="290" max="293" width="8.73046875" bestFit="1" customWidth="1"/>
    <col min="294" max="294" width="7.73046875" bestFit="1" customWidth="1"/>
    <col min="295" max="300" width="8.73046875" bestFit="1" customWidth="1"/>
    <col min="301" max="302" width="7.73046875" bestFit="1" customWidth="1"/>
    <col min="303" max="304" width="8.73046875" bestFit="1" customWidth="1"/>
    <col min="305" max="305" width="7.73046875" bestFit="1" customWidth="1"/>
    <col min="306" max="310" width="8.73046875" bestFit="1" customWidth="1"/>
    <col min="311" max="311" width="7.73046875" bestFit="1" customWidth="1"/>
    <col min="312" max="312" width="5.73046875" bestFit="1" customWidth="1"/>
    <col min="313" max="315" width="8.73046875" bestFit="1" customWidth="1"/>
    <col min="316" max="316" width="7.73046875" bestFit="1" customWidth="1"/>
    <col min="317" max="321" width="8.73046875" bestFit="1" customWidth="1"/>
    <col min="322" max="323" width="7.73046875" bestFit="1" customWidth="1"/>
    <col min="324" max="325" width="8.73046875" bestFit="1" customWidth="1"/>
    <col min="326" max="326" width="5.73046875" bestFit="1" customWidth="1"/>
    <col min="327" max="327" width="7.73046875" bestFit="1" customWidth="1"/>
    <col min="328" max="329" width="8.73046875" bestFit="1" customWidth="1"/>
    <col min="330" max="330" width="7.73046875" bestFit="1" customWidth="1"/>
    <col min="331" max="339" width="8.73046875" bestFit="1" customWidth="1"/>
    <col min="340" max="341" width="5.73046875" bestFit="1" customWidth="1"/>
    <col min="342" max="344" width="8.73046875" bestFit="1" customWidth="1"/>
    <col min="345" max="345" width="7.73046875" bestFit="1" customWidth="1"/>
    <col min="346" max="349" width="8.73046875" bestFit="1" customWidth="1"/>
    <col min="350" max="350" width="7.73046875" bestFit="1" customWidth="1"/>
    <col min="351" max="351" width="8.73046875" bestFit="1" customWidth="1"/>
    <col min="352" max="352" width="7.73046875" bestFit="1" customWidth="1"/>
    <col min="353" max="360" width="8.73046875" bestFit="1" customWidth="1"/>
    <col min="361" max="362" width="7.73046875" bestFit="1" customWidth="1"/>
    <col min="363" max="365" width="8.73046875" bestFit="1" customWidth="1"/>
    <col min="366" max="366" width="7.73046875" bestFit="1" customWidth="1"/>
    <col min="367" max="367" width="5.73046875" bestFit="1" customWidth="1"/>
    <col min="368" max="371" width="8.73046875" bestFit="1" customWidth="1"/>
    <col min="372" max="373" width="5.73046875" bestFit="1" customWidth="1"/>
    <col min="374" max="375" width="8.73046875" bestFit="1" customWidth="1"/>
    <col min="376" max="376" width="7.73046875" bestFit="1" customWidth="1"/>
    <col min="377" max="381" width="8.73046875" bestFit="1" customWidth="1"/>
    <col min="382" max="382" width="10.19921875" bestFit="1" customWidth="1"/>
  </cols>
  <sheetData>
    <row r="1" spans="1:2" x14ac:dyDescent="0.45">
      <c r="A1" s="4" t="s">
        <v>533</v>
      </c>
      <c r="B1" s="1" t="s">
        <v>535</v>
      </c>
    </row>
    <row r="2" spans="1:2" x14ac:dyDescent="0.45">
      <c r="A2" s="1" t="s">
        <v>9</v>
      </c>
      <c r="B2" s="5">
        <v>1470939.1800000009</v>
      </c>
    </row>
    <row r="3" spans="1:2" x14ac:dyDescent="0.45">
      <c r="A3" s="1" t="s">
        <v>293</v>
      </c>
      <c r="B3" s="5">
        <v>1457280.8499999989</v>
      </c>
    </row>
    <row r="4" spans="1:2" x14ac:dyDescent="0.45">
      <c r="A4" s="1" t="s">
        <v>534</v>
      </c>
      <c r="B4" s="5">
        <v>2928220.03</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6AA3-8D4D-4E9F-9484-3F67B2597206}">
  <dimension ref="A10:U20"/>
  <sheetViews>
    <sheetView showGridLines="0" tabSelected="1" zoomScale="70" zoomScaleNormal="64" workbookViewId="0">
      <selection activeCell="R41" sqref="R41"/>
    </sheetView>
  </sheetViews>
  <sheetFormatPr defaultRowHeight="14.25" x14ac:dyDescent="0.45"/>
  <cols>
    <col min="1" max="1" width="14.19921875" style="1" customWidth="1"/>
    <col min="2" max="2" width="13.59765625" style="1" customWidth="1"/>
    <col min="3" max="3" width="11.796875" style="1" customWidth="1"/>
    <col min="4" max="4" width="14.86328125" style="1" bestFit="1" customWidth="1"/>
    <col min="7" max="7" width="14.265625" style="1" bestFit="1" customWidth="1"/>
    <col min="8" max="8" width="17.53125" style="1" bestFit="1" customWidth="1"/>
    <col min="9" max="9" width="24.06640625" style="1" bestFit="1" customWidth="1"/>
    <col min="20" max="20" width="16.33203125" style="1" bestFit="1" customWidth="1"/>
    <col min="21" max="21" width="25.46484375" style="1" bestFit="1" customWidth="1"/>
  </cols>
  <sheetData>
    <row r="10" spans="1:21" x14ac:dyDescent="0.45">
      <c r="A10" s="6" t="s">
        <v>536</v>
      </c>
      <c r="B10" s="6" t="s">
        <v>537</v>
      </c>
      <c r="C10" s="6" t="s">
        <v>538</v>
      </c>
      <c r="D10" s="6" t="s">
        <v>539</v>
      </c>
      <c r="G10" s="4" t="s">
        <v>533</v>
      </c>
      <c r="H10" s="1" t="s">
        <v>540</v>
      </c>
      <c r="I10" s="1" t="s">
        <v>541</v>
      </c>
      <c r="T10" s="4" t="s">
        <v>533</v>
      </c>
      <c r="U10" s="1" t="s">
        <v>542</v>
      </c>
    </row>
    <row r="11" spans="1:21" x14ac:dyDescent="0.45">
      <c r="A11" s="1" t="str">
        <f>Data_expiry!B2</f>
        <v>Medication_53</v>
      </c>
      <c r="B11" s="1">
        <f>Data_expiry!C2</f>
        <v>218</v>
      </c>
      <c r="C11" s="3">
        <f>Data_expiry!D2</f>
        <v>46185</v>
      </c>
      <c r="D11" s="1" t="str">
        <f>Data_expiry!G2</f>
        <v>Critical: &lt; 30 Days</v>
      </c>
      <c r="G11" s="1" t="s">
        <v>160</v>
      </c>
      <c r="H11" s="2">
        <v>1747</v>
      </c>
      <c r="I11" s="2">
        <v>278</v>
      </c>
      <c r="T11" s="1" t="s">
        <v>518</v>
      </c>
      <c r="U11" s="2">
        <v>15</v>
      </c>
    </row>
    <row r="12" spans="1:21" x14ac:dyDescent="0.45">
      <c r="A12" s="1" t="str">
        <f>Data_expiry!B3</f>
        <v>Medication_32</v>
      </c>
      <c r="B12" s="1">
        <f>Data_expiry!C3</f>
        <v>339</v>
      </c>
      <c r="C12" s="3">
        <f>Data_expiry!D3</f>
        <v>46187</v>
      </c>
      <c r="D12" s="1" t="str">
        <f>Data_expiry!G3</f>
        <v>Critical: &lt; 30 Days</v>
      </c>
      <c r="G12" s="1" t="s">
        <v>534</v>
      </c>
      <c r="H12" s="2">
        <v>1747</v>
      </c>
      <c r="I12" s="2">
        <v>278</v>
      </c>
      <c r="T12" s="1" t="s">
        <v>534</v>
      </c>
      <c r="U12" s="2">
        <v>15</v>
      </c>
    </row>
    <row r="13" spans="1:21" x14ac:dyDescent="0.45">
      <c r="A13" s="1" t="str">
        <f>Data_expiry!B4</f>
        <v>Medication_60</v>
      </c>
      <c r="B13" s="1">
        <f>Data_expiry!C4</f>
        <v>204</v>
      </c>
      <c r="C13" s="3">
        <f>Data_expiry!D4</f>
        <v>46187</v>
      </c>
      <c r="D13" s="1" t="str">
        <f>Data_expiry!G4</f>
        <v>Critical: &lt; 30 Days</v>
      </c>
    </row>
    <row r="14" spans="1:21" x14ac:dyDescent="0.45">
      <c r="A14" s="1" t="str">
        <f>Data_expiry!B5</f>
        <v>Medication_32</v>
      </c>
      <c r="B14" s="1">
        <f>Data_expiry!C5</f>
        <v>357</v>
      </c>
      <c r="C14" s="3">
        <f>Data_expiry!D5</f>
        <v>46193</v>
      </c>
      <c r="D14" s="1" t="str">
        <f>Data_expiry!G5</f>
        <v>Critical: &lt; 30 Days</v>
      </c>
    </row>
    <row r="15" spans="1:21" x14ac:dyDescent="0.45">
      <c r="A15" s="1" t="str">
        <f>Data_expiry!B6</f>
        <v>Medication_34</v>
      </c>
      <c r="B15" s="1">
        <f>Data_expiry!C6</f>
        <v>353</v>
      </c>
      <c r="C15" s="3">
        <f>Data_expiry!D6</f>
        <v>46194</v>
      </c>
      <c r="D15" s="1" t="str">
        <f>Data_expiry!G6</f>
        <v>Critical: &lt; 30 Days</v>
      </c>
    </row>
    <row r="16" spans="1:21" x14ac:dyDescent="0.45">
      <c r="A16" s="1" t="str">
        <f>Data_expiry!B7</f>
        <v>Medication_32</v>
      </c>
      <c r="B16" s="1">
        <f>Data_expiry!C7</f>
        <v>349</v>
      </c>
      <c r="C16" s="3">
        <f>Data_expiry!D7</f>
        <v>46195</v>
      </c>
      <c r="D16" s="1" t="str">
        <f>Data_expiry!G7</f>
        <v>Critical: &lt; 30 Days</v>
      </c>
    </row>
    <row r="17" spans="1:4" x14ac:dyDescent="0.45">
      <c r="A17" s="1" t="str">
        <f>Data_expiry!B8</f>
        <v>Medication_29</v>
      </c>
      <c r="B17" s="1">
        <f>Data_expiry!C8</f>
        <v>183</v>
      </c>
      <c r="C17" s="3">
        <f>Data_expiry!D8</f>
        <v>46200</v>
      </c>
      <c r="D17" s="1" t="str">
        <f>Data_expiry!G8</f>
        <v>Critical: &lt; 30 Days</v>
      </c>
    </row>
    <row r="18" spans="1:4" x14ac:dyDescent="0.45">
      <c r="A18" s="1" t="str">
        <f>Data_expiry!B9</f>
        <v>Medication_19</v>
      </c>
      <c r="B18" s="1">
        <f>Data_expiry!C9</f>
        <v>764</v>
      </c>
      <c r="C18" s="3">
        <f>Data_expiry!D9</f>
        <v>46208</v>
      </c>
      <c r="D18" s="1" t="str">
        <f>Data_expiry!G9</f>
        <v>Critical: &lt; 30 Days</v>
      </c>
    </row>
    <row r="19" spans="1:4" x14ac:dyDescent="0.45">
      <c r="A19" s="1" t="str">
        <f>Data_expiry!B10</f>
        <v>Medication_82</v>
      </c>
      <c r="B19" s="1">
        <f>Data_expiry!C10</f>
        <v>126</v>
      </c>
      <c r="C19" s="3">
        <f>Data_expiry!D10</f>
        <v>46209</v>
      </c>
      <c r="D19" s="1" t="str">
        <f>Data_expiry!G10</f>
        <v>Critical: &lt; 30 Days</v>
      </c>
    </row>
    <row r="20" spans="1:4" x14ac:dyDescent="0.45">
      <c r="A20" s="1" t="str">
        <f>Data_expiry!B11</f>
        <v>Medication_51</v>
      </c>
      <c r="B20" s="1">
        <f>Data_expiry!C11</f>
        <v>363</v>
      </c>
      <c r="C20" s="3">
        <f>Data_expiry!D11</f>
        <v>46210</v>
      </c>
      <c r="D20" s="1" t="str">
        <f>Data_expiry!G11</f>
        <v>Critical: &lt; 30 Days</v>
      </c>
    </row>
  </sheetData>
  <conditionalFormatting sqref="D11:D20">
    <cfRule type="cellIs" dxfId="86" priority="1" operator="equal">
      <formula>$D$11</formula>
    </cfRule>
  </conditionalFormatting>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D8EC25-7100-495C-BF38-9FA7C2CAD7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Data_expiry</vt:lpstr>
      <vt:lpstr>Data_stock</vt:lpstr>
      <vt:lpstr>Data_suppliers</vt:lpstr>
      <vt:lpstr>Pivot_calculations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kalra</dc:creator>
  <cp:lastModifiedBy>harshit kalra</cp:lastModifiedBy>
  <dcterms:created xsi:type="dcterms:W3CDTF">2026-09-21T10:15:29Z</dcterms:created>
  <dcterms:modified xsi:type="dcterms:W3CDTF">2026-09-22T05:07:28Z</dcterms:modified>
</cp:coreProperties>
</file>